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nit Economics" sheetId="2" state="visible" r:id="rId4"/>
    <sheet name="Assumptions" sheetId="3" state="visible" r:id="rId5"/>
    <sheet name="Month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<sst xmlns="http://schemas.openxmlformats.org/spreadsheetml/2006/main" count="160" uniqueCount="150">
  <si>
    <t xml:space="preserve">Closebook — 3-Year Summary ($)</t>
  </si>
  <si>
    <t xml:space="preserve">Every number on this sheet is a formula driven by the Assumptions sheet.</t>
  </si>
  <si>
    <t xml:space="preserve">Metric</t>
  </si>
  <si>
    <t xml:space="preserve">Year 1</t>
  </si>
  <si>
    <t xml:space="preserve">Year 2</t>
  </si>
  <si>
    <t xml:space="preserve">Year 3</t>
  </si>
  <si>
    <t xml:space="preserve">Clients at year end</t>
  </si>
  <si>
    <t xml:space="preserve">CPA partner firms at year end</t>
  </si>
  <si>
    <t xml:space="preserve">New clients won</t>
  </si>
  <si>
    <t xml:space="preserve">Exit MRR (subscription)</t>
  </si>
  <si>
    <t xml:space="preserve">Exit ARR (MRR × 12)</t>
  </si>
  <si>
    <t xml:space="preserve">Net revenue</t>
  </si>
  <si>
    <t xml:space="preserve">Gross profit</t>
  </si>
  <si>
    <t xml:space="preserve">Gross margin %</t>
  </si>
  <si>
    <t xml:space="preserve">Operating expenses</t>
  </si>
  <si>
    <t xml:space="preserve">EBITDA</t>
  </si>
  <si>
    <t xml:space="preserve">Closing cash</t>
  </si>
  <si>
    <t xml:space="preserve">Key results</t>
  </si>
  <si>
    <t xml:space="preserve">Lowest cash balance</t>
  </si>
  <si>
    <t xml:space="preserve">If negative, the raise is too small or costs too high.</t>
  </si>
  <si>
    <t xml:space="preserve">Month cash runs out</t>
  </si>
  <si>
    <t xml:space="preserve">First month with positive EBITDA</t>
  </si>
  <si>
    <t xml:space="preserve">Peak monthly burn</t>
  </si>
  <si>
    <t xml:space="preserve">Blended price per client (ARPA)</t>
  </si>
  <si>
    <t xml:space="preserve">Closebook — Unit Economics (per client, steady state)</t>
  </si>
  <si>
    <t xml:space="preserve">Revenue per client per month (ARPA)</t>
  </si>
  <si>
    <t xml:space="preserve">Payment processing per client</t>
  </si>
  <si>
    <t xml:space="preserve">Service cost per client (CPA + AI + data)</t>
  </si>
  <si>
    <t xml:space="preserve">Contribution per client per month</t>
  </si>
  <si>
    <t xml:space="preserve">Contribution margin %</t>
  </si>
  <si>
    <t xml:space="preserve">Deck target gross margin: 85–90%.</t>
  </si>
  <si>
    <t xml:space="preserve">Expected client lifetime (months)</t>
  </si>
  <si>
    <t xml:space="preserve">1 ÷ monthly churn.</t>
  </si>
  <si>
    <t xml:space="preserve">Lifetime value (contribution)</t>
  </si>
  <si>
    <t xml:space="preserve">Excludes catch-up revenue, so it is conservative.</t>
  </si>
  <si>
    <t xml:space="preserve">Direct CAC</t>
  </si>
  <si>
    <t xml:space="preserve">LTV ÷ CAC</t>
  </si>
  <si>
    <t xml:space="preserve">Above 3x is generally considered healthy.</t>
  </si>
  <si>
    <t xml:space="preserve">CAC payback (months)</t>
  </si>
  <si>
    <t xml:space="preserve">Months of contribution to earn back acquisition cost.</t>
  </si>
  <si>
    <t xml:space="preserve">Closebook — Financial Model Assumptions</t>
  </si>
  <si>
    <t xml:space="preserve">Legend: blue = input you can change · yellow fill = key assumption or placeholder to confirm · black = formula · green = link to another sheet. All figures are founder estimates, not sourced data.</t>
  </si>
  <si>
    <t xml:space="preserve">Pricing ($ per client per month)</t>
  </si>
  <si>
    <t xml:space="preserve">Starter plan price</t>
  </si>
  <si>
    <t xml:space="preserve">From pitch deck pricing.</t>
  </si>
  <si>
    <t xml:space="preserve">Growth plan price</t>
  </si>
  <si>
    <t xml:space="preserve">Pro plan price</t>
  </si>
  <si>
    <t xml:space="preserve">Plan mix: Starter</t>
  </si>
  <si>
    <t xml:space="preserve">Share of clients on each plan; must sum to 100%.</t>
  </si>
  <si>
    <t xml:space="preserve">Plan mix: Growth</t>
  </si>
  <si>
    <t xml:space="preserve">Plan mix: Pro</t>
  </si>
  <si>
    <t xml:space="preserve">Plan mix check (must be 100%)</t>
  </si>
  <si>
    <t xml:space="preserve">Catch-up attach rate (share of new clients)</t>
  </si>
  <si>
    <t xml:space="preserve">Clients who buy one-time catch-up bookkeeping when they join.</t>
  </si>
  <si>
    <t xml:space="preserve">Average catch-up price</t>
  </si>
  <si>
    <t xml:space="preserve">Deck range: $1,500–$5,000 one-time.</t>
  </si>
  <si>
    <t xml:space="preserve">Customer acquisition</t>
  </si>
  <si>
    <t xml:space="preserve">Direct new clients in month 1</t>
  </si>
  <si>
    <t xml:space="preserve">Concierge phase: hand-served Shopify sellers.</t>
  </si>
  <si>
    <t xml:space="preserve">Direct new-client growth per month, year 1</t>
  </si>
  <si>
    <t xml:space="preserve">Month-over-month growth in new clients.</t>
  </si>
  <si>
    <t xml:space="preserve">Direct new-client growth per month, year 2</t>
  </si>
  <si>
    <t xml:space="preserve">Direct new-client growth per month, year 3</t>
  </si>
  <si>
    <t xml:space="preserve">Direct CAC (marketing $ per new direct client)</t>
  </si>
  <si>
    <t xml:space="preserve">Paid + content cost to win one direct client.</t>
  </si>
  <si>
    <t xml:space="preserve">Fixed marketing spend per month</t>
  </si>
  <si>
    <t xml:space="preserve">Content, tools, events.</t>
  </si>
  <si>
    <t xml:space="preserve">CPA partner program starts (month #)</t>
  </si>
  <si>
    <t xml:space="preserve">Deck roadmap: white-label in months 9–18; pilots earlier.</t>
  </si>
  <si>
    <t xml:space="preserve">New CPA partner firms per month, year 1</t>
  </si>
  <si>
    <t xml:space="preserve">Applies from the start month.</t>
  </si>
  <si>
    <t xml:space="preserve">New CPA partner firms per month, year 2</t>
  </si>
  <si>
    <t xml:space="preserve">New CPA partner firms per month, year 3</t>
  </si>
  <si>
    <t xml:space="preserve">New clients per active partner per month</t>
  </si>
  <si>
    <t xml:space="preserve">Deck: one firm can bring 20–100 clients over time.</t>
  </si>
  <si>
    <t xml:space="preserve">Revenue share paid to partner firms</t>
  </si>
  <si>
    <t xml:space="preserve">Of subscription revenue from partner-sourced clients.</t>
  </si>
  <si>
    <t xml:space="preserve">Monthly client churn</t>
  </si>
  <si>
    <t xml:space="preserve">Deck target: under 2%; modelled conservatively.</t>
  </si>
  <si>
    <t xml:space="preserve">Cost of revenue</t>
  </si>
  <si>
    <t xml:space="preserve">CPA review cost per client per month</t>
  </si>
  <si>
    <t xml:space="preserve">~30 min/month at ~$40/hr (tech spec target).</t>
  </si>
  <si>
    <t xml:space="preserve">AI / LLM cost per client per month</t>
  </si>
  <si>
    <t xml:space="preserve">Deck range: $15–30.</t>
  </si>
  <si>
    <t xml:space="preserve">Bank and data feed cost per client per month</t>
  </si>
  <si>
    <t xml:space="preserve">Deck range: $5–10.</t>
  </si>
  <si>
    <t xml:space="preserve">Catch-up delivery cost (% of catch-up revenue)</t>
  </si>
  <si>
    <t xml:space="preserve">Contract bookkeeper time for back months.</t>
  </si>
  <si>
    <t xml:space="preserve">Payment processing (% of revenue)</t>
  </si>
  <si>
    <t xml:space="preserve">Card processing on subscriptions.</t>
  </si>
  <si>
    <t xml:space="preserve">Payroll burden (taxes and benefits, % of salary)</t>
  </si>
  <si>
    <t xml:space="preserve">G&amp;A base per month (software, legal, insurance)</t>
  </si>
  <si>
    <t xml:space="preserve">G&amp;A per client per month (support tools)</t>
  </si>
  <si>
    <t xml:space="preserve">Funding</t>
  </si>
  <si>
    <t xml:space="preserve">Starting cash</t>
  </si>
  <si>
    <t xml:space="preserve">Founders' cash before the round. Placeholder.</t>
  </si>
  <si>
    <t xml:space="preserve">Pre-seed raise amount</t>
  </si>
  <si>
    <t xml:space="preserve">Deck shows [$__]: replace with the real target.</t>
  </si>
  <si>
    <t xml:space="preserve">Month the raise closes (month #)</t>
  </si>
  <si>
    <t xml:space="preserve">Team (monthly salary, start month)</t>
  </si>
  <si>
    <t xml:space="preserve">Role</t>
  </si>
  <si>
    <t xml:space="preserve">Salary / mo</t>
  </si>
  <si>
    <t xml:space="preserve">Start month #</t>
  </si>
  <si>
    <t xml:space="preserve">Founder / CEO</t>
  </si>
  <si>
    <t xml:space="preserve">Founder / CTO</t>
  </si>
  <si>
    <t xml:space="preserve">Engineer #1</t>
  </si>
  <si>
    <t xml:space="preserve">Customer success + CPA lead</t>
  </si>
  <si>
    <t xml:space="preserve">Partnerships lead</t>
  </si>
  <si>
    <t xml:space="preserve">Engineer #2</t>
  </si>
  <si>
    <t xml:space="preserve">Marketing lead</t>
  </si>
  <si>
    <t xml:space="preserve">Engineer #3</t>
  </si>
  <si>
    <t xml:space="preserve">Customer success #2</t>
  </si>
  <si>
    <t xml:space="preserve">Customer success #3</t>
  </si>
  <si>
    <t xml:space="preserve">Finance + ops lead</t>
  </si>
  <si>
    <t xml:space="preserve">Engineer #4</t>
  </si>
  <si>
    <t xml:space="preserve">Add hires by inserting rows inside this table so the payroll formula picks them up.</t>
  </si>
  <si>
    <t xml:space="preserve">Closebook — Monthly Projection (36 months, $)</t>
  </si>
  <si>
    <t xml:space="preserve">Month #</t>
  </si>
  <si>
    <t xml:space="preserve">Year</t>
  </si>
  <si>
    <t xml:space="preserve">Customers</t>
  </si>
  <si>
    <t xml:space="preserve">New direct clients</t>
  </si>
  <si>
    <t xml:space="preserve">Active CPA partner firms</t>
  </si>
  <si>
    <t xml:space="preserve">New partner-sourced clients</t>
  </si>
  <si>
    <t xml:space="preserve">Total new clients</t>
  </si>
  <si>
    <t xml:space="preserve">Direct clients (end of month)</t>
  </si>
  <si>
    <t xml:space="preserve">Partner clients (end of month)</t>
  </si>
  <si>
    <t xml:space="preserve">Total clients (end of month)</t>
  </si>
  <si>
    <t xml:space="preserve">Clients churned</t>
  </si>
  <si>
    <t xml:space="preserve">Revenue</t>
  </si>
  <si>
    <t xml:space="preserve">Subscription revenue (MRR)</t>
  </si>
  <si>
    <t xml:space="preserve">Catch-up revenue (one-time)</t>
  </si>
  <si>
    <t xml:space="preserve">Less: partner revenue share</t>
  </si>
  <si>
    <t xml:space="preserve">CPA review</t>
  </si>
  <si>
    <t xml:space="preserve">AI / LLM</t>
  </si>
  <si>
    <t xml:space="preserve">Bank and data feeds</t>
  </si>
  <si>
    <t xml:space="preserve">Catch-up delivery</t>
  </si>
  <si>
    <t xml:space="preserve">Payment processing</t>
  </si>
  <si>
    <t xml:space="preserve">Total cost of revenue</t>
  </si>
  <si>
    <t xml:space="preserve">Payroll (incl. burden)</t>
  </si>
  <si>
    <t xml:space="preserve">Marketing</t>
  </si>
  <si>
    <t xml:space="preserve">General &amp; administrative</t>
  </si>
  <si>
    <t xml:space="preserve">Total operating expenses</t>
  </si>
  <si>
    <t xml:space="preserve">EBITDA (operating profit)</t>
  </si>
  <si>
    <t xml:space="preserve">Cash</t>
  </si>
  <si>
    <t xml:space="preserve">Opening cash</t>
  </si>
  <si>
    <t xml:space="preserve">Funding received</t>
  </si>
  <si>
    <t xml:space="preserve">Net burn (negative EBITDA)</t>
  </si>
  <si>
    <t xml:space="preserve">Helper flags (used by Summary)</t>
  </si>
  <si>
    <t xml:space="preserve">Month cash goes negative (else 999)</t>
  </si>
  <si>
    <t xml:space="preserve">Month EBITDA turns positive (else 999)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</si>
</sst>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"/>
    <numFmt numFmtId="169" formatCode="#,##0.0;\(#,##0.0\);\-"/>
    <numFmt numFmtId="170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7A55"/>
        <bgColor rgb="FF008080"/>
      </patternFill>
    </fill>
    <fill>
      <patternFill patternType="solid">
        <fgColor rgb="FFDFF2E8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5"/>
      <rgbColor rgb="FFC0C0C0"/>
      <rgbColor rgb="FF808080"/>
      <rgbColor rgb="FF9999FF"/>
      <rgbColor rgb="FF993366"/>
      <rgbColor rgb="FFFFFFCC"/>
      <rgbColor rgb="FFDFF2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INDEX(Monthly!$C$13:$AL$13,12)</f>
        <v>149.325598214541</v>
      </c>
      <c r="C5" s="5" t="n">
        <f aca="false">INDEX(Monthly!$C$13:$AL$13,24)</f>
        <v>666.095113878454</v>
      </c>
      <c r="D5" s="5" t="n">
        <f aca="false">INDEX(Monthly!$C$13:$AL$13,36)</f>
        <v>1566.53212949722</v>
      </c>
    </row>
    <row r="6" customFormat="false" ht="15" hidden="false" customHeight="false" outlineLevel="0" collapsed="false">
      <c r="A6" s="6" t="s">
        <v>7</v>
      </c>
      <c r="B6" s="7" t="n">
        <f aca="false">INDEX(Monthly!$C$8:$AL$8,12)</f>
        <v>6</v>
      </c>
      <c r="C6" s="7" t="n">
        <f aca="false">INDEX(Monthly!$C$8:$AL$8,24)</f>
        <v>30</v>
      </c>
      <c r="D6" s="7" t="n">
        <f aca="false">INDEX(Monthly!$C$8:$AL$8,36)</f>
        <v>66</v>
      </c>
    </row>
    <row r="7" customFormat="false" ht="15" hidden="false" customHeight="false" outlineLevel="0" collapsed="false">
      <c r="A7" s="6" t="s">
        <v>8</v>
      </c>
      <c r="B7" s="7" t="n">
        <f aca="false">SUMIF(Monthly!$C$4:$AL$4,1,Monthly!$C$10:$AL$10)</f>
        <v>166.008336849124</v>
      </c>
      <c r="C7" s="7" t="n">
        <f aca="false">SUMIF(Monthly!$C$4:$AL$4,2,Monthly!$C$10:$AL$10)</f>
        <v>643.97351717465</v>
      </c>
      <c r="D7" s="7" t="n">
        <f aca="false">SUMIF(Monthly!$C$4:$AL$4,3,Monthly!$C$10:$AL$10)</f>
        <v>1278.22409403713</v>
      </c>
    </row>
    <row r="8" customFormat="false" ht="15" hidden="false" customHeight="false" outlineLevel="0" collapsed="false">
      <c r="A8" s="6" t="s">
        <v>9</v>
      </c>
      <c r="B8" s="8" t="n">
        <f aca="false">INDEX(Monthly!$C$17:$AL$17,12)</f>
        <v>68540.4495804743</v>
      </c>
      <c r="C8" s="8" t="n">
        <f aca="false">INDEX(Monthly!$C$17:$AL$17,24)</f>
        <v>305737.657270211</v>
      </c>
      <c r="D8" s="8" t="n">
        <f aca="false">INDEX(Monthly!$C$17:$AL$17,36)</f>
        <v>719038.247439226</v>
      </c>
    </row>
    <row r="9" customFormat="false" ht="15" hidden="false" customHeight="false" outlineLevel="0" collapsed="false">
      <c r="A9" s="4" t="s">
        <v>10</v>
      </c>
      <c r="B9" s="9" t="n">
        <f aca="false">B8*12</f>
        <v>822485.394965691</v>
      </c>
      <c r="C9" s="9" t="n">
        <f aca="false">C8*12</f>
        <v>3668851.88724253</v>
      </c>
      <c r="D9" s="9" t="n">
        <f aca="false">D8*12</f>
        <v>8628458.96927071</v>
      </c>
    </row>
    <row r="11" customFormat="false" ht="15" hidden="false" customHeight="false" outlineLevel="0" collapsed="false">
      <c r="A11" s="4" t="s">
        <v>11</v>
      </c>
      <c r="B11" s="9" t="n">
        <f aca="false">SUMIF(Monthly!$C$4:$AL$4,1,Monthly!$C$20:$AL$20)</f>
        <v>484842.109626881</v>
      </c>
      <c r="C11" s="9" t="n">
        <f aca="false">SUMIF(Monthly!$C$4:$AL$4,2,Monthly!$C$20:$AL$20)</f>
        <v>2709028.63520749</v>
      </c>
      <c r="D11" s="9" t="n">
        <f aca="false">SUMIF(Monthly!$C$4:$AL$4,3,Monthly!$C$20:$AL$20)</f>
        <v>6990834.46867872</v>
      </c>
    </row>
    <row r="12" customFormat="false" ht="15" hidden="false" customHeight="false" outlineLevel="0" collapsed="false">
      <c r="A12" s="6" t="s">
        <v>12</v>
      </c>
      <c r="B12" s="8" t="n">
        <f aca="false">SUMIF(Monthly!$C$4:$AL$4,1,Monthly!$C$29:$AL$29)</f>
        <v>374806.833481081</v>
      </c>
      <c r="C12" s="8" t="n">
        <f aca="false">SUMIF(Monthly!$C$4:$AL$4,2,Monthly!$C$29:$AL$29)</f>
        <v>2150251.19147432</v>
      </c>
      <c r="D12" s="8" t="n">
        <f aca="false">SUMIF(Monthly!$C$4:$AL$4,3,Monthly!$C$29:$AL$29)</f>
        <v>5618584.00133846</v>
      </c>
    </row>
    <row r="13" customFormat="false" ht="15" hidden="false" customHeight="false" outlineLevel="0" collapsed="false">
      <c r="A13" s="6" t="s">
        <v>13</v>
      </c>
      <c r="B13" s="10" t="n">
        <f aca="false">IF(B11=0,0,B12/B11)</f>
        <v>0.773049258797922</v>
      </c>
      <c r="C13" s="10" t="n">
        <f aca="false">IF(C11=0,0,C12/C11)</f>
        <v>0.793735128351504</v>
      </c>
      <c r="D13" s="10" t="n">
        <f aca="false">IF(D11=0,0,D12/D11)</f>
        <v>0.803707200694224</v>
      </c>
    </row>
    <row r="14" customFormat="false" ht="15" hidden="false" customHeight="false" outlineLevel="0" collapsed="false">
      <c r="A14" s="6" t="s">
        <v>14</v>
      </c>
      <c r="B14" s="8" t="n">
        <f aca="false">SUMIF(Monthly!$C$4:$AL$4,1,Monthly!$C$36:$AL$36)</f>
        <v>891839.589703855</v>
      </c>
      <c r="C14" s="8" t="n">
        <f aca="false">SUMIF(Monthly!$C$4:$AL$4,2,Monthly!$C$36:$AL$36)</f>
        <v>1970744.79025875</v>
      </c>
      <c r="D14" s="8" t="n">
        <f aca="false">SUMIF(Monthly!$C$4:$AL$4,3,Monthly!$C$36:$AL$36)</f>
        <v>2931602.83920352</v>
      </c>
    </row>
    <row r="15" customFormat="false" ht="15" hidden="false" customHeight="false" outlineLevel="0" collapsed="false">
      <c r="A15" s="4" t="s">
        <v>15</v>
      </c>
      <c r="B15" s="9" t="n">
        <f aca="false">SUMIF(Monthly!$C$4:$AL$4,1,Monthly!$C$37:$AL$37)</f>
        <v>-517032.756222774</v>
      </c>
      <c r="C15" s="9" t="n">
        <f aca="false">SUMIF(Monthly!$C$4:$AL$4,2,Monthly!$C$37:$AL$37)</f>
        <v>179506.401215565</v>
      </c>
      <c r="D15" s="9" t="n">
        <f aca="false">SUMIF(Monthly!$C$4:$AL$4,3,Monthly!$C$37:$AL$37)</f>
        <v>2686981.16213495</v>
      </c>
    </row>
    <row r="16" customFormat="false" ht="15" hidden="false" customHeight="false" outlineLevel="0" collapsed="false">
      <c r="A16" s="4" t="s">
        <v>16</v>
      </c>
      <c r="B16" s="9" t="n">
        <f aca="false">INDEX(Monthly!$C$42:$AL$42,12)</f>
        <v>1032967.24377723</v>
      </c>
      <c r="C16" s="9" t="n">
        <f aca="false">INDEX(Monthly!$C$42:$AL$42,24)</f>
        <v>1212473.64499279</v>
      </c>
      <c r="D16" s="9" t="n">
        <f aca="false">INDEX(Monthly!$C$42:$AL$42,36)</f>
        <v>3899454.80712774</v>
      </c>
    </row>
    <row r="18" customFormat="false" ht="15" hidden="false" customHeight="false" outlineLevel="0" collapsed="false">
      <c r="A18" s="11" t="s">
        <v>17</v>
      </c>
      <c r="B18" s="12"/>
      <c r="C18" s="12"/>
      <c r="D18" s="12"/>
    </row>
    <row r="19" customFormat="false" ht="15" hidden="false" customHeight="false" outlineLevel="0" collapsed="false">
      <c r="A19" s="6" t="s">
        <v>18</v>
      </c>
      <c r="B19" s="9" t="n">
        <f aca="false">MIN(Monthly!$C$42:$AL$42)</f>
        <v>894027.625857443</v>
      </c>
      <c r="E19" s="13" t="s">
        <v>19</v>
      </c>
    </row>
    <row r="20" customFormat="false" ht="15" hidden="false" customHeight="false" outlineLevel="0" collapsed="false">
      <c r="A20" s="6" t="s">
        <v>20</v>
      </c>
      <c r="B20" s="14" t="str">
        <f aca="false">IF(MIN(Monthly!$C$46:$AL$46)=999,"Not within 36 months",MIN(Monthly!$C$46:$AL$46))</f>
        <v>Not within 36 months</v>
      </c>
      <c r="E20" s="13"/>
    </row>
    <row r="21" customFormat="false" ht="15" hidden="false" customHeight="false" outlineLevel="0" collapsed="false">
      <c r="A21" s="6" t="s">
        <v>21</v>
      </c>
      <c r="B21" s="14" t="n">
        <f aca="false">IF(MIN(Monthly!$C$47:$AL$47)=999,"Not within 36 months",MIN(Monthly!$C$47:$AL$47))</f>
        <v>18</v>
      </c>
      <c r="E21" s="13"/>
    </row>
    <row r="22" customFormat="false" ht="15" hidden="false" customHeight="false" outlineLevel="0" collapsed="false">
      <c r="A22" s="6" t="s">
        <v>22</v>
      </c>
      <c r="B22" s="9" t="n">
        <f aca="false">MAX(Monthly!$C$43:$AL$43)</f>
        <v>58521.3655146198</v>
      </c>
      <c r="E22" s="13"/>
    </row>
    <row r="23" customFormat="false" ht="15" hidden="false" customHeight="false" outlineLevel="0" collapsed="false">
      <c r="A23" s="6" t="s">
        <v>23</v>
      </c>
      <c r="B23" s="15" t="n">
        <f aca="false">Assumptions!$B$13</f>
        <v>459</v>
      </c>
      <c r="E2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6" t="s">
        <v>25</v>
      </c>
      <c r="B3" s="15" t="n">
        <f aca="false">Assumptions!$B$13</f>
        <v>459</v>
      </c>
      <c r="C3" s="13"/>
    </row>
    <row r="4" customFormat="false" ht="15" hidden="false" customHeight="false" outlineLevel="0" collapsed="false">
      <c r="A4" s="6" t="s">
        <v>26</v>
      </c>
      <c r="B4" s="8" t="n">
        <f aca="false">B3*Assumptions!$B$37</f>
        <v>13.77</v>
      </c>
      <c r="C4" s="13"/>
    </row>
    <row r="5" customFormat="false" ht="15" hidden="false" customHeight="false" outlineLevel="0" collapsed="false">
      <c r="A5" s="6" t="s">
        <v>27</v>
      </c>
      <c r="B5" s="8" t="n">
        <f aca="false">Assumptions!$B$33+Assumptions!$B$34+Assumptions!$B$35</f>
        <v>53</v>
      </c>
      <c r="C5" s="13"/>
    </row>
    <row r="6" customFormat="false" ht="15" hidden="false" customHeight="false" outlineLevel="0" collapsed="false">
      <c r="A6" s="4" t="s">
        <v>28</v>
      </c>
      <c r="B6" s="9" t="n">
        <f aca="false">B3-B4-B5</f>
        <v>392.23</v>
      </c>
      <c r="C6" s="13"/>
    </row>
    <row r="7" customFormat="false" ht="15" hidden="false" customHeight="false" outlineLevel="0" collapsed="false">
      <c r="A7" s="6" t="s">
        <v>29</v>
      </c>
      <c r="B7" s="10" t="n">
        <f aca="false">IF(B3=0,0,B6/B3)</f>
        <v>0.854531590413943</v>
      </c>
      <c r="C7" s="13" t="s">
        <v>30</v>
      </c>
    </row>
    <row r="8" customFormat="false" ht="15" hidden="false" customHeight="false" outlineLevel="0" collapsed="false">
      <c r="A8" s="6" t="s">
        <v>31</v>
      </c>
      <c r="B8" s="16" t="n">
        <f aca="false">IF(Assumptions!$B$30=0,0,1/Assumptions!$B$30)</f>
        <v>33.3333333333333</v>
      </c>
      <c r="C8" s="13" t="s">
        <v>32</v>
      </c>
    </row>
    <row r="9" customFormat="false" ht="15" hidden="false" customHeight="false" outlineLevel="0" collapsed="false">
      <c r="A9" s="4" t="s">
        <v>33</v>
      </c>
      <c r="B9" s="9" t="n">
        <f aca="false">B6*B8</f>
        <v>13074.3333333333</v>
      </c>
      <c r="C9" s="13" t="s">
        <v>34</v>
      </c>
    </row>
    <row r="10" customFormat="false" ht="15" hidden="false" customHeight="false" outlineLevel="0" collapsed="false">
      <c r="A10" s="6" t="s">
        <v>35</v>
      </c>
      <c r="B10" s="15" t="n">
        <f aca="false">Assumptions!$B$22</f>
        <v>1500</v>
      </c>
      <c r="C10" s="13"/>
    </row>
    <row r="11" customFormat="false" ht="15" hidden="false" customHeight="false" outlineLevel="0" collapsed="false">
      <c r="A11" s="4" t="s">
        <v>36</v>
      </c>
      <c r="B11" s="17" t="n">
        <f aca="false">IF(B10=0,0,B9/B10)</f>
        <v>8.71622222222222</v>
      </c>
      <c r="C11" s="13" t="s">
        <v>37</v>
      </c>
    </row>
    <row r="12" customFormat="false" ht="15" hidden="false" customHeight="false" outlineLevel="0" collapsed="false">
      <c r="A12" s="6" t="s">
        <v>38</v>
      </c>
      <c r="B12" s="16" t="n">
        <f aca="false">IF(B6&lt;=0,0,B10/B6)</f>
        <v>3.8242867705173</v>
      </c>
      <c r="C12" s="1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40</v>
      </c>
    </row>
    <row r="2" customFormat="false" ht="30" hidden="false" customHeight="true" outlineLevel="0" collapsed="false">
      <c r="A2" s="18" t="s">
        <v>41</v>
      </c>
      <c r="B2" s="18"/>
      <c r="C2" s="18"/>
      <c r="D2" s="18"/>
    </row>
    <row r="5" customFormat="false" ht="15" hidden="false" customHeight="false" outlineLevel="0" collapsed="false">
      <c r="A5" s="11" t="s">
        <v>42</v>
      </c>
      <c r="B5" s="12"/>
      <c r="C5" s="12"/>
      <c r="D5" s="12"/>
    </row>
    <row r="6" customFormat="false" ht="15" hidden="false" customHeight="false" outlineLevel="0" collapsed="false">
      <c r="A6" s="6" t="s">
        <v>43</v>
      </c>
      <c r="B6" s="19" t="n">
        <v>299</v>
      </c>
      <c r="D6" s="13" t="s">
        <v>44</v>
      </c>
    </row>
    <row r="7" customFormat="false" ht="15" hidden="false" customHeight="false" outlineLevel="0" collapsed="false">
      <c r="A7" s="6" t="s">
        <v>45</v>
      </c>
      <c r="B7" s="19" t="n">
        <v>499</v>
      </c>
      <c r="D7" s="13" t="s">
        <v>44</v>
      </c>
    </row>
    <row r="8" customFormat="false" ht="15" hidden="false" customHeight="false" outlineLevel="0" collapsed="false">
      <c r="A8" s="6" t="s">
        <v>46</v>
      </c>
      <c r="B8" s="19" t="n">
        <v>899</v>
      </c>
      <c r="D8" s="13" t="s">
        <v>44</v>
      </c>
    </row>
    <row r="9" customFormat="false" ht="15" hidden="false" customHeight="false" outlineLevel="0" collapsed="false">
      <c r="A9" s="6" t="s">
        <v>47</v>
      </c>
      <c r="B9" s="20" t="n">
        <v>0.5</v>
      </c>
      <c r="D9" s="13" t="s">
        <v>48</v>
      </c>
    </row>
    <row r="10" customFormat="false" ht="15" hidden="false" customHeight="false" outlineLevel="0" collapsed="false">
      <c r="A10" s="6" t="s">
        <v>49</v>
      </c>
      <c r="B10" s="20" t="n">
        <v>0.35</v>
      </c>
      <c r="D10" s="13"/>
    </row>
    <row r="11" customFormat="false" ht="15" hidden="false" customHeight="false" outlineLevel="0" collapsed="false">
      <c r="A11" s="6" t="s">
        <v>50</v>
      </c>
      <c r="B11" s="20" t="n">
        <v>0.15</v>
      </c>
      <c r="D11" s="13"/>
    </row>
    <row r="12" customFormat="false" ht="15" hidden="false" customHeight="false" outlineLevel="0" collapsed="false">
      <c r="A12" s="6" t="s">
        <v>51</v>
      </c>
      <c r="B12" s="10" t="n">
        <f aca="false">$B$9+$B$10+$B$11</f>
        <v>1</v>
      </c>
    </row>
    <row r="13" customFormat="false" ht="15" hidden="false" customHeight="false" outlineLevel="0" collapsed="false">
      <c r="A13" s="4" t="s">
        <v>23</v>
      </c>
      <c r="B13" s="9" t="n">
        <f aca="false">$B$6*$B$9+$B$7*$B$10+$B$8*$B$11</f>
        <v>459</v>
      </c>
    </row>
    <row r="14" customFormat="false" ht="15" hidden="false" customHeight="false" outlineLevel="0" collapsed="false">
      <c r="A14" s="6" t="s">
        <v>52</v>
      </c>
      <c r="B14" s="20" t="n">
        <v>0.4</v>
      </c>
      <c r="D14" s="13" t="s">
        <v>53</v>
      </c>
    </row>
    <row r="15" customFormat="false" ht="15" hidden="false" customHeight="false" outlineLevel="0" collapsed="false">
      <c r="A15" s="6" t="s">
        <v>54</v>
      </c>
      <c r="B15" s="19" t="n">
        <v>2500</v>
      </c>
      <c r="D15" s="13" t="s">
        <v>55</v>
      </c>
    </row>
    <row r="17" customFormat="false" ht="15" hidden="false" customHeight="false" outlineLevel="0" collapsed="false">
      <c r="A17" s="11" t="s">
        <v>56</v>
      </c>
      <c r="B17" s="12"/>
      <c r="C17" s="12"/>
      <c r="D17" s="12"/>
    </row>
    <row r="18" customFormat="false" ht="15" hidden="false" customHeight="false" outlineLevel="0" collapsed="false">
      <c r="A18" s="6" t="s">
        <v>57</v>
      </c>
      <c r="B18" s="21" t="n">
        <v>5</v>
      </c>
      <c r="D18" s="13" t="s">
        <v>58</v>
      </c>
    </row>
    <row r="19" customFormat="false" ht="15" hidden="false" customHeight="false" outlineLevel="0" collapsed="false">
      <c r="A19" s="6" t="s">
        <v>59</v>
      </c>
      <c r="B19" s="20" t="n">
        <v>0.15</v>
      </c>
      <c r="D19" s="13" t="s">
        <v>60</v>
      </c>
    </row>
    <row r="20" customFormat="false" ht="15" hidden="false" customHeight="false" outlineLevel="0" collapsed="false">
      <c r="A20" s="6" t="s">
        <v>61</v>
      </c>
      <c r="B20" s="20" t="n">
        <v>0.06</v>
      </c>
      <c r="D20" s="13"/>
    </row>
    <row r="21" customFormat="false" ht="15" hidden="false" customHeight="false" outlineLevel="0" collapsed="false">
      <c r="A21" s="6" t="s">
        <v>62</v>
      </c>
      <c r="B21" s="20" t="n">
        <v>0.03</v>
      </c>
      <c r="D21" s="13"/>
    </row>
    <row r="22" customFormat="false" ht="15" hidden="false" customHeight="false" outlineLevel="0" collapsed="false">
      <c r="A22" s="6" t="s">
        <v>63</v>
      </c>
      <c r="B22" s="22" t="n">
        <v>1500</v>
      </c>
      <c r="D22" s="13" t="s">
        <v>64</v>
      </c>
    </row>
    <row r="23" customFormat="false" ht="15" hidden="false" customHeight="false" outlineLevel="0" collapsed="false">
      <c r="A23" s="6" t="s">
        <v>65</v>
      </c>
      <c r="B23" s="19" t="n">
        <v>2000</v>
      </c>
      <c r="D23" s="13" t="s">
        <v>66</v>
      </c>
    </row>
    <row r="24" customFormat="false" ht="15" hidden="false" customHeight="false" outlineLevel="0" collapsed="false">
      <c r="A24" s="6" t="s">
        <v>67</v>
      </c>
      <c r="B24" s="23" t="n">
        <v>7</v>
      </c>
      <c r="D24" s="13" t="s">
        <v>68</v>
      </c>
    </row>
    <row r="25" customFormat="false" ht="15" hidden="false" customHeight="false" outlineLevel="0" collapsed="false">
      <c r="A25" s="6" t="s">
        <v>69</v>
      </c>
      <c r="B25" s="24" t="n">
        <v>1</v>
      </c>
      <c r="D25" s="13" t="s">
        <v>70</v>
      </c>
    </row>
    <row r="26" customFormat="false" ht="15" hidden="false" customHeight="false" outlineLevel="0" collapsed="false">
      <c r="A26" s="6" t="s">
        <v>71</v>
      </c>
      <c r="B26" s="24" t="n">
        <v>2</v>
      </c>
      <c r="D26" s="13"/>
    </row>
    <row r="27" customFormat="false" ht="15" hidden="false" customHeight="false" outlineLevel="0" collapsed="false">
      <c r="A27" s="6" t="s">
        <v>72</v>
      </c>
      <c r="B27" s="24" t="n">
        <v>3</v>
      </c>
      <c r="D27" s="13"/>
    </row>
    <row r="28" customFormat="false" ht="15" hidden="false" customHeight="false" outlineLevel="0" collapsed="false">
      <c r="A28" s="6" t="s">
        <v>73</v>
      </c>
      <c r="B28" s="24" t="n">
        <v>1</v>
      </c>
      <c r="D28" s="13" t="s">
        <v>74</v>
      </c>
    </row>
    <row r="29" customFormat="false" ht="15" hidden="false" customHeight="false" outlineLevel="0" collapsed="false">
      <c r="A29" s="6" t="s">
        <v>75</v>
      </c>
      <c r="B29" s="25" t="n">
        <v>0.2</v>
      </c>
      <c r="D29" s="13" t="s">
        <v>76</v>
      </c>
    </row>
    <row r="30" customFormat="false" ht="15" hidden="false" customHeight="false" outlineLevel="0" collapsed="false">
      <c r="A30" s="6" t="s">
        <v>77</v>
      </c>
      <c r="B30" s="20" t="n">
        <v>0.03</v>
      </c>
      <c r="D30" s="13" t="s">
        <v>78</v>
      </c>
    </row>
    <row r="32" customFormat="false" ht="15" hidden="false" customHeight="false" outlineLevel="0" collapsed="false">
      <c r="A32" s="11" t="s">
        <v>79</v>
      </c>
      <c r="B32" s="12"/>
      <c r="C32" s="12"/>
      <c r="D32" s="12"/>
    </row>
    <row r="33" customFormat="false" ht="15" hidden="false" customHeight="false" outlineLevel="0" collapsed="false">
      <c r="A33" s="6" t="s">
        <v>80</v>
      </c>
      <c r="B33" s="19" t="n">
        <v>20</v>
      </c>
      <c r="D33" s="13" t="s">
        <v>81</v>
      </c>
    </row>
    <row r="34" customFormat="false" ht="15" hidden="false" customHeight="false" outlineLevel="0" collapsed="false">
      <c r="A34" s="6" t="s">
        <v>82</v>
      </c>
      <c r="B34" s="19" t="n">
        <v>25</v>
      </c>
      <c r="D34" s="13" t="s">
        <v>83</v>
      </c>
    </row>
    <row r="35" customFormat="false" ht="15" hidden="false" customHeight="false" outlineLevel="0" collapsed="false">
      <c r="A35" s="6" t="s">
        <v>84</v>
      </c>
      <c r="B35" s="19" t="n">
        <v>8</v>
      </c>
      <c r="D35" s="13" t="s">
        <v>85</v>
      </c>
    </row>
    <row r="36" customFormat="false" ht="15" hidden="false" customHeight="false" outlineLevel="0" collapsed="false">
      <c r="A36" s="6" t="s">
        <v>86</v>
      </c>
      <c r="B36" s="25" t="n">
        <v>0.35</v>
      </c>
      <c r="D36" s="13" t="s">
        <v>87</v>
      </c>
    </row>
    <row r="37" customFormat="false" ht="15" hidden="false" customHeight="false" outlineLevel="0" collapsed="false">
      <c r="A37" s="6" t="s">
        <v>88</v>
      </c>
      <c r="B37" s="25" t="n">
        <v>0.03</v>
      </c>
      <c r="D37" s="13" t="s">
        <v>89</v>
      </c>
    </row>
    <row r="39" customFormat="false" ht="15" hidden="false" customHeight="false" outlineLevel="0" collapsed="false">
      <c r="A39" s="11" t="s">
        <v>14</v>
      </c>
      <c r="B39" s="12"/>
      <c r="C39" s="12"/>
      <c r="D39" s="12"/>
    </row>
    <row r="40" customFormat="false" ht="15" hidden="false" customHeight="false" outlineLevel="0" collapsed="false">
      <c r="A40" s="6" t="s">
        <v>90</v>
      </c>
      <c r="B40" s="25" t="n">
        <v>0.2</v>
      </c>
      <c r="D40" s="13"/>
    </row>
    <row r="41" customFormat="false" ht="15" hidden="false" customHeight="false" outlineLevel="0" collapsed="false">
      <c r="A41" s="6" t="s">
        <v>91</v>
      </c>
      <c r="B41" s="19" t="n">
        <v>4000</v>
      </c>
      <c r="D41" s="13"/>
    </row>
    <row r="42" customFormat="false" ht="15" hidden="false" customHeight="false" outlineLevel="0" collapsed="false">
      <c r="A42" s="6" t="s">
        <v>92</v>
      </c>
      <c r="B42" s="19" t="n">
        <v>5</v>
      </c>
      <c r="D42" s="13"/>
    </row>
    <row r="44" customFormat="false" ht="15" hidden="false" customHeight="false" outlineLevel="0" collapsed="false">
      <c r="A44" s="11" t="s">
        <v>93</v>
      </c>
      <c r="B44" s="12"/>
      <c r="C44" s="12"/>
      <c r="D44" s="12"/>
    </row>
    <row r="45" customFormat="false" ht="15" hidden="false" customHeight="false" outlineLevel="0" collapsed="false">
      <c r="A45" s="6" t="s">
        <v>94</v>
      </c>
      <c r="B45" s="22" t="n">
        <v>50000</v>
      </c>
      <c r="D45" s="13" t="s">
        <v>95</v>
      </c>
    </row>
    <row r="46" customFormat="false" ht="15" hidden="false" customHeight="false" outlineLevel="0" collapsed="false">
      <c r="A46" s="6" t="s">
        <v>96</v>
      </c>
      <c r="B46" s="22" t="n">
        <v>1500000</v>
      </c>
      <c r="D46" s="13" t="s">
        <v>97</v>
      </c>
    </row>
    <row r="47" customFormat="false" ht="15" hidden="false" customHeight="false" outlineLevel="0" collapsed="false">
      <c r="A47" s="6" t="s">
        <v>98</v>
      </c>
      <c r="B47" s="21" t="n">
        <v>1</v>
      </c>
      <c r="D47" s="13"/>
    </row>
    <row r="49" customFormat="false" ht="15" hidden="false" customHeight="false" outlineLevel="0" collapsed="false">
      <c r="A49" s="11" t="s">
        <v>99</v>
      </c>
      <c r="B49" s="12"/>
      <c r="C49" s="12"/>
      <c r="D49" s="12"/>
    </row>
    <row r="50" customFormat="false" ht="15" hidden="false" customHeight="false" outlineLevel="0" collapsed="false">
      <c r="A50" s="4" t="s">
        <v>100</v>
      </c>
      <c r="B50" s="4" t="s">
        <v>101</v>
      </c>
      <c r="C50" s="4" t="s">
        <v>102</v>
      </c>
    </row>
    <row r="51" customFormat="false" ht="15" hidden="false" customHeight="false" outlineLevel="0" collapsed="false">
      <c r="A51" s="26" t="s">
        <v>103</v>
      </c>
      <c r="B51" s="19" t="n">
        <v>10000</v>
      </c>
      <c r="C51" s="23" t="n">
        <v>1</v>
      </c>
    </row>
    <row r="52" customFormat="false" ht="15" hidden="false" customHeight="false" outlineLevel="0" collapsed="false">
      <c r="A52" s="26" t="s">
        <v>104</v>
      </c>
      <c r="B52" s="19" t="n">
        <v>10000</v>
      </c>
      <c r="C52" s="23" t="n">
        <v>1</v>
      </c>
    </row>
    <row r="53" customFormat="false" ht="15" hidden="false" customHeight="false" outlineLevel="0" collapsed="false">
      <c r="A53" s="26" t="s">
        <v>105</v>
      </c>
      <c r="B53" s="19" t="n">
        <v>13000</v>
      </c>
      <c r="C53" s="23" t="n">
        <v>4</v>
      </c>
    </row>
    <row r="54" customFormat="false" ht="15" hidden="false" customHeight="false" outlineLevel="0" collapsed="false">
      <c r="A54" s="26" t="s">
        <v>106</v>
      </c>
      <c r="B54" s="19" t="n">
        <v>9000</v>
      </c>
      <c r="C54" s="23" t="n">
        <v>6</v>
      </c>
    </row>
    <row r="55" customFormat="false" ht="15" hidden="false" customHeight="false" outlineLevel="0" collapsed="false">
      <c r="A55" s="26" t="s">
        <v>107</v>
      </c>
      <c r="B55" s="19" t="n">
        <v>10000</v>
      </c>
      <c r="C55" s="23" t="n">
        <v>9</v>
      </c>
    </row>
    <row r="56" customFormat="false" ht="15" hidden="false" customHeight="false" outlineLevel="0" collapsed="false">
      <c r="A56" s="26" t="s">
        <v>108</v>
      </c>
      <c r="B56" s="19" t="n">
        <v>13000</v>
      </c>
      <c r="C56" s="23" t="n">
        <v>10</v>
      </c>
    </row>
    <row r="57" customFormat="false" ht="15" hidden="false" customHeight="false" outlineLevel="0" collapsed="false">
      <c r="A57" s="26" t="s">
        <v>109</v>
      </c>
      <c r="B57" s="19" t="n">
        <v>9000</v>
      </c>
      <c r="C57" s="23" t="n">
        <v>13</v>
      </c>
    </row>
    <row r="58" customFormat="false" ht="15" hidden="false" customHeight="false" outlineLevel="0" collapsed="false">
      <c r="A58" s="26" t="s">
        <v>110</v>
      </c>
      <c r="B58" s="19" t="n">
        <v>13000</v>
      </c>
      <c r="C58" s="23" t="n">
        <v>16</v>
      </c>
    </row>
    <row r="59" customFormat="false" ht="15" hidden="false" customHeight="false" outlineLevel="0" collapsed="false">
      <c r="A59" s="26" t="s">
        <v>111</v>
      </c>
      <c r="B59" s="19" t="n">
        <v>7500</v>
      </c>
      <c r="C59" s="23" t="n">
        <v>20</v>
      </c>
    </row>
    <row r="60" customFormat="false" ht="15" hidden="false" customHeight="false" outlineLevel="0" collapsed="false">
      <c r="A60" s="26" t="s">
        <v>112</v>
      </c>
      <c r="B60" s="19" t="n">
        <v>7500</v>
      </c>
      <c r="C60" s="23" t="n">
        <v>26</v>
      </c>
    </row>
    <row r="61" customFormat="false" ht="15" hidden="false" customHeight="false" outlineLevel="0" collapsed="false">
      <c r="A61" s="26" t="s">
        <v>113</v>
      </c>
      <c r="B61" s="19" t="n">
        <v>11000</v>
      </c>
      <c r="C61" s="23" t="n">
        <v>28</v>
      </c>
    </row>
    <row r="62" customFormat="false" ht="15" hidden="false" customHeight="false" outlineLevel="0" collapsed="false">
      <c r="A62" s="26" t="s">
        <v>114</v>
      </c>
      <c r="B62" s="19" t="n">
        <v>13000</v>
      </c>
      <c r="C62" s="23" t="n">
        <v>25</v>
      </c>
    </row>
    <row r="63" customFormat="false" ht="15" hidden="false" customHeight="false" outlineLevel="0" collapsed="false">
      <c r="A63" s="2" t="s">
        <v>115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116</v>
      </c>
    </row>
    <row r="3" customFormat="false" ht="15" hidden="false" customHeight="false" outlineLevel="0" collapsed="false">
      <c r="A3" s="3" t="s">
        <v>117</v>
      </c>
      <c r="B3" s="27"/>
      <c r="C3" s="28" t="n">
        <v>1</v>
      </c>
      <c r="D3" s="28" t="n">
        <v>2</v>
      </c>
      <c r="E3" s="28" t="n">
        <v>3</v>
      </c>
      <c r="F3" s="28" t="n">
        <v>4</v>
      </c>
      <c r="G3" s="28" t="n">
        <v>5</v>
      </c>
      <c r="H3" s="28" t="n">
        <v>6</v>
      </c>
      <c r="I3" s="28" t="n">
        <v>7</v>
      </c>
      <c r="J3" s="28" t="n">
        <v>8</v>
      </c>
      <c r="K3" s="28" t="n">
        <v>9</v>
      </c>
      <c r="L3" s="28" t="n">
        <v>10</v>
      </c>
      <c r="M3" s="28" t="n">
        <v>11</v>
      </c>
      <c r="N3" s="28" t="n">
        <v>12</v>
      </c>
      <c r="O3" s="28" t="n">
        <v>13</v>
      </c>
      <c r="P3" s="28" t="n">
        <v>14</v>
      </c>
      <c r="Q3" s="28" t="n">
        <v>15</v>
      </c>
      <c r="R3" s="28" t="n">
        <v>16</v>
      </c>
      <c r="S3" s="28" t="n">
        <v>17</v>
      </c>
      <c r="T3" s="28" t="n">
        <v>18</v>
      </c>
      <c r="U3" s="28" t="n">
        <v>19</v>
      </c>
      <c r="V3" s="28" t="n">
        <v>20</v>
      </c>
      <c r="W3" s="28" t="n">
        <v>21</v>
      </c>
      <c r="X3" s="28" t="n">
        <v>22</v>
      </c>
      <c r="Y3" s="28" t="n">
        <v>23</v>
      </c>
      <c r="Z3" s="28" t="n">
        <v>24</v>
      </c>
      <c r="AA3" s="28" t="n">
        <v>25</v>
      </c>
      <c r="AB3" s="28" t="n">
        <v>26</v>
      </c>
      <c r="AC3" s="28" t="n">
        <v>27</v>
      </c>
      <c r="AD3" s="28" t="n">
        <v>28</v>
      </c>
      <c r="AE3" s="28" t="n">
        <v>29</v>
      </c>
      <c r="AF3" s="28" t="n">
        <v>30</v>
      </c>
      <c r="AG3" s="28" t="n">
        <v>31</v>
      </c>
      <c r="AH3" s="28" t="n">
        <v>32</v>
      </c>
      <c r="AI3" s="28" t="n">
        <v>33</v>
      </c>
      <c r="AJ3" s="28" t="n">
        <v>34</v>
      </c>
      <c r="AK3" s="28" t="n">
        <v>35</v>
      </c>
      <c r="AL3" s="28" t="n">
        <v>36</v>
      </c>
    </row>
    <row r="4" customFormat="false" ht="15" hidden="false" customHeight="false" outlineLevel="0" collapsed="false">
      <c r="A4" s="6" t="s">
        <v>118</v>
      </c>
      <c r="C4" s="29" t="n">
        <f aca="false">ROUNDUP(C$3/12,0)</f>
        <v>1</v>
      </c>
      <c r="D4" s="29" t="n">
        <f aca="false">ROUNDUP(D$3/12,0)</f>
        <v>1</v>
      </c>
      <c r="E4" s="29" t="n">
        <f aca="false">ROUNDUP(E$3/12,0)</f>
        <v>1</v>
      </c>
      <c r="F4" s="29" t="n">
        <f aca="false">ROUNDUP(F$3/12,0)</f>
        <v>1</v>
      </c>
      <c r="G4" s="29" t="n">
        <f aca="false">ROUNDUP(G$3/12,0)</f>
        <v>1</v>
      </c>
      <c r="H4" s="29" t="n">
        <f aca="false">ROUNDUP(H$3/12,0)</f>
        <v>1</v>
      </c>
      <c r="I4" s="29" t="n">
        <f aca="false">ROUNDUP(I$3/12,0)</f>
        <v>1</v>
      </c>
      <c r="J4" s="29" t="n">
        <f aca="false">ROUNDUP(J$3/12,0)</f>
        <v>1</v>
      </c>
      <c r="K4" s="29" t="n">
        <f aca="false">ROUNDUP(K$3/12,0)</f>
        <v>1</v>
      </c>
      <c r="L4" s="29" t="n">
        <f aca="false">ROUNDUP(L$3/12,0)</f>
        <v>1</v>
      </c>
      <c r="M4" s="29" t="n">
        <f aca="false">ROUNDUP(M$3/12,0)</f>
        <v>1</v>
      </c>
      <c r="N4" s="29" t="n">
        <f aca="false">ROUNDUP(N$3/12,0)</f>
        <v>1</v>
      </c>
      <c r="O4" s="29" t="n">
        <f aca="false">ROUNDUP(O$3/12,0)</f>
        <v>2</v>
      </c>
      <c r="P4" s="29" t="n">
        <f aca="false">ROUNDUP(P$3/12,0)</f>
        <v>2</v>
      </c>
      <c r="Q4" s="29" t="n">
        <f aca="false">ROUNDUP(Q$3/12,0)</f>
        <v>2</v>
      </c>
      <c r="R4" s="29" t="n">
        <f aca="false">ROUNDUP(R$3/12,0)</f>
        <v>2</v>
      </c>
      <c r="S4" s="29" t="n">
        <f aca="false">ROUNDUP(S$3/12,0)</f>
        <v>2</v>
      </c>
      <c r="T4" s="29" t="n">
        <f aca="false">ROUNDUP(T$3/12,0)</f>
        <v>2</v>
      </c>
      <c r="U4" s="29" t="n">
        <f aca="false">ROUNDUP(U$3/12,0)</f>
        <v>2</v>
      </c>
      <c r="V4" s="29" t="n">
        <f aca="false">ROUNDUP(V$3/12,0)</f>
        <v>2</v>
      </c>
      <c r="W4" s="29" t="n">
        <f aca="false">ROUNDUP(W$3/12,0)</f>
        <v>2</v>
      </c>
      <c r="X4" s="29" t="n">
        <f aca="false">ROUNDUP(X$3/12,0)</f>
        <v>2</v>
      </c>
      <c r="Y4" s="29" t="n">
        <f aca="false">ROUNDUP(Y$3/12,0)</f>
        <v>2</v>
      </c>
      <c r="Z4" s="29" t="n">
        <f aca="false">ROUNDUP(Z$3/12,0)</f>
        <v>2</v>
      </c>
      <c r="AA4" s="29" t="n">
        <f aca="false">ROUNDUP(AA$3/12,0)</f>
        <v>3</v>
      </c>
      <c r="AB4" s="29" t="n">
        <f aca="false">ROUNDUP(AB$3/12,0)</f>
        <v>3</v>
      </c>
      <c r="AC4" s="29" t="n">
        <f aca="false">ROUNDUP(AC$3/12,0)</f>
        <v>3</v>
      </c>
      <c r="AD4" s="29" t="n">
        <f aca="false">ROUNDUP(AD$3/12,0)</f>
        <v>3</v>
      </c>
      <c r="AE4" s="29" t="n">
        <f aca="false">ROUNDUP(AE$3/12,0)</f>
        <v>3</v>
      </c>
      <c r="AF4" s="29" t="n">
        <f aca="false">ROUNDUP(AF$3/12,0)</f>
        <v>3</v>
      </c>
      <c r="AG4" s="29" t="n">
        <f aca="false">ROUNDUP(AG$3/12,0)</f>
        <v>3</v>
      </c>
      <c r="AH4" s="29" t="n">
        <f aca="false">ROUNDUP(AH$3/12,0)</f>
        <v>3</v>
      </c>
      <c r="AI4" s="29" t="n">
        <f aca="false">ROUNDUP(AI$3/12,0)</f>
        <v>3</v>
      </c>
      <c r="AJ4" s="29" t="n">
        <f aca="false">ROUNDUP(AJ$3/12,0)</f>
        <v>3</v>
      </c>
      <c r="AK4" s="29" t="n">
        <f aca="false">ROUNDUP(AK$3/12,0)</f>
        <v>3</v>
      </c>
      <c r="AL4" s="29" t="n">
        <f aca="false">ROUNDUP(AL$3/12,0)</f>
        <v>3</v>
      </c>
    </row>
    <row r="6" customFormat="false" ht="15" hidden="false" customHeight="false" outlineLevel="0" collapsed="false">
      <c r="A6" s="11" t="s">
        <v>119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customFormat="false" ht="15" hidden="false" customHeight="false" outlineLevel="0" collapsed="false">
      <c r="A7" s="6" t="s">
        <v>120</v>
      </c>
      <c r="C7" s="30" t="n">
        <f aca="false">Assumptions!$B$18</f>
        <v>5</v>
      </c>
      <c r="D7" s="16" t="n">
        <f aca="false">C7*(1+INDEX(Assumptions!$B$19:$B$21,D$4))</f>
        <v>5.75</v>
      </c>
      <c r="E7" s="16" t="n">
        <f aca="false">D7*(1+INDEX(Assumptions!$B$19:$B$21,E$4))</f>
        <v>6.6125</v>
      </c>
      <c r="F7" s="16" t="n">
        <f aca="false">E7*(1+INDEX(Assumptions!$B$19:$B$21,F$4))</f>
        <v>7.604375</v>
      </c>
      <c r="G7" s="16" t="n">
        <f aca="false">F7*(1+INDEX(Assumptions!$B$19:$B$21,G$4))</f>
        <v>8.74503125</v>
      </c>
      <c r="H7" s="16" t="n">
        <f aca="false">G7*(1+INDEX(Assumptions!$B$19:$B$21,H$4))</f>
        <v>10.0567859375</v>
      </c>
      <c r="I7" s="16" t="n">
        <f aca="false">H7*(1+INDEX(Assumptions!$B$19:$B$21,I$4))</f>
        <v>11.565303828125</v>
      </c>
      <c r="J7" s="16" t="n">
        <f aca="false">I7*(1+INDEX(Assumptions!$B$19:$B$21,J$4))</f>
        <v>13.3000994023437</v>
      </c>
      <c r="K7" s="16" t="n">
        <f aca="false">J7*(1+INDEX(Assumptions!$B$19:$B$21,K$4))</f>
        <v>15.2951143126953</v>
      </c>
      <c r="L7" s="16" t="n">
        <f aca="false">K7*(1+INDEX(Assumptions!$B$19:$B$21,L$4))</f>
        <v>17.5893814595996</v>
      </c>
      <c r="M7" s="16" t="n">
        <f aca="false">L7*(1+INDEX(Assumptions!$B$19:$B$21,M$4))</f>
        <v>20.2277886785395</v>
      </c>
      <c r="N7" s="16" t="n">
        <f aca="false">M7*(1+INDEX(Assumptions!$B$19:$B$21,N$4))</f>
        <v>23.2619569803205</v>
      </c>
      <c r="O7" s="16" t="n">
        <f aca="false">N7*(1+INDEX(Assumptions!$B$19:$B$21,O$4))</f>
        <v>24.6576743991397</v>
      </c>
      <c r="P7" s="16" t="n">
        <f aca="false">O7*(1+INDEX(Assumptions!$B$19:$B$21,P$4))</f>
        <v>26.1371348630881</v>
      </c>
      <c r="Q7" s="16" t="n">
        <f aca="false">P7*(1+INDEX(Assumptions!$B$19:$B$21,Q$4))</f>
        <v>27.7053629548734</v>
      </c>
      <c r="R7" s="16" t="n">
        <f aca="false">Q7*(1+INDEX(Assumptions!$B$19:$B$21,R$4))</f>
        <v>29.3676847321658</v>
      </c>
      <c r="S7" s="16" t="n">
        <f aca="false">R7*(1+INDEX(Assumptions!$B$19:$B$21,S$4))</f>
        <v>31.1297458160957</v>
      </c>
      <c r="T7" s="16" t="n">
        <f aca="false">S7*(1+INDEX(Assumptions!$B$19:$B$21,T$4))</f>
        <v>32.9975305650615</v>
      </c>
      <c r="U7" s="16" t="n">
        <f aca="false">T7*(1+INDEX(Assumptions!$B$19:$B$21,U$4))</f>
        <v>34.9773823989652</v>
      </c>
      <c r="V7" s="16" t="n">
        <f aca="false">U7*(1+INDEX(Assumptions!$B$19:$B$21,V$4))</f>
        <v>37.0760253429031</v>
      </c>
      <c r="W7" s="16" t="n">
        <f aca="false">V7*(1+INDEX(Assumptions!$B$19:$B$21,W$4))</f>
        <v>39.3005868634773</v>
      </c>
      <c r="X7" s="16" t="n">
        <f aca="false">W7*(1+INDEX(Assumptions!$B$19:$B$21,X$4))</f>
        <v>41.6586220752859</v>
      </c>
      <c r="Y7" s="16" t="n">
        <f aca="false">X7*(1+INDEX(Assumptions!$B$19:$B$21,Y$4))</f>
        <v>44.158139399803</v>
      </c>
      <c r="Z7" s="16" t="n">
        <f aca="false">Y7*(1+INDEX(Assumptions!$B$19:$B$21,Z$4))</f>
        <v>46.8076277637912</v>
      </c>
      <c r="AA7" s="16" t="n">
        <f aca="false">Z7*(1+INDEX(Assumptions!$B$19:$B$21,AA$4))</f>
        <v>48.211856596705</v>
      </c>
      <c r="AB7" s="16" t="n">
        <f aca="false">AA7*(1+INDEX(Assumptions!$B$19:$B$21,AB$4))</f>
        <v>49.6582122946061</v>
      </c>
      <c r="AC7" s="16" t="n">
        <f aca="false">AB7*(1+INDEX(Assumptions!$B$19:$B$21,AC$4))</f>
        <v>51.1479586634443</v>
      </c>
      <c r="AD7" s="16" t="n">
        <f aca="false">AC7*(1+INDEX(Assumptions!$B$19:$B$21,AD$4))</f>
        <v>52.6823974233476</v>
      </c>
      <c r="AE7" s="16" t="n">
        <f aca="false">AD7*(1+INDEX(Assumptions!$B$19:$B$21,AE$4))</f>
        <v>54.2628693460481</v>
      </c>
      <c r="AF7" s="16" t="n">
        <f aca="false">AE7*(1+INDEX(Assumptions!$B$19:$B$21,AF$4))</f>
        <v>55.8907554264295</v>
      </c>
      <c r="AG7" s="16" t="n">
        <f aca="false">AF7*(1+INDEX(Assumptions!$B$19:$B$21,AG$4))</f>
        <v>57.5674780892224</v>
      </c>
      <c r="AH7" s="16" t="n">
        <f aca="false">AG7*(1+INDEX(Assumptions!$B$19:$B$21,AH$4))</f>
        <v>59.2945024318991</v>
      </c>
      <c r="AI7" s="16" t="n">
        <f aca="false">AH7*(1+INDEX(Assumptions!$B$19:$B$21,AI$4))</f>
        <v>61.073337504856</v>
      </c>
      <c r="AJ7" s="16" t="n">
        <f aca="false">AI7*(1+INDEX(Assumptions!$B$19:$B$21,AJ$4))</f>
        <v>62.9055376300017</v>
      </c>
      <c r="AK7" s="16" t="n">
        <f aca="false">AJ7*(1+INDEX(Assumptions!$B$19:$B$21,AK$4))</f>
        <v>64.7927037589018</v>
      </c>
      <c r="AL7" s="16" t="n">
        <f aca="false">AK7*(1+INDEX(Assumptions!$B$19:$B$21,AL$4))</f>
        <v>66.7364848716688</v>
      </c>
    </row>
    <row r="8" customFormat="false" ht="15" hidden="false" customHeight="false" outlineLevel="0" collapsed="false">
      <c r="A8" s="6" t="s">
        <v>121</v>
      </c>
      <c r="C8" s="16" t="n">
        <f aca="false">0+IF(C$3&gt;=Assumptions!$B$24,INDEX(Assumptions!$B$25:$B$27,C$4),0)</f>
        <v>0</v>
      </c>
      <c r="D8" s="16" t="n">
        <f aca="false">C8+IF(D$3&gt;=Assumptions!$B$24,INDEX(Assumptions!$B$25:$B$27,D$4),0)</f>
        <v>0</v>
      </c>
      <c r="E8" s="16" t="n">
        <f aca="false">D8+IF(E$3&gt;=Assumptions!$B$24,INDEX(Assumptions!$B$25:$B$27,E$4),0)</f>
        <v>0</v>
      </c>
      <c r="F8" s="16" t="n">
        <f aca="false">E8+IF(F$3&gt;=Assumptions!$B$24,INDEX(Assumptions!$B$25:$B$27,F$4),0)</f>
        <v>0</v>
      </c>
      <c r="G8" s="16" t="n">
        <f aca="false">F8+IF(G$3&gt;=Assumptions!$B$24,INDEX(Assumptions!$B$25:$B$27,G$4),0)</f>
        <v>0</v>
      </c>
      <c r="H8" s="16" t="n">
        <f aca="false">G8+IF(H$3&gt;=Assumptions!$B$24,INDEX(Assumptions!$B$25:$B$27,H$4),0)</f>
        <v>0</v>
      </c>
      <c r="I8" s="16" t="n">
        <f aca="false">H8+IF(I$3&gt;=Assumptions!$B$24,INDEX(Assumptions!$B$25:$B$27,I$4),0)</f>
        <v>1</v>
      </c>
      <c r="J8" s="16" t="n">
        <f aca="false">I8+IF(J$3&gt;=Assumptions!$B$24,INDEX(Assumptions!$B$25:$B$27,J$4),0)</f>
        <v>2</v>
      </c>
      <c r="K8" s="16" t="n">
        <f aca="false">J8+IF(K$3&gt;=Assumptions!$B$24,INDEX(Assumptions!$B$25:$B$27,K$4),0)</f>
        <v>3</v>
      </c>
      <c r="L8" s="16" t="n">
        <f aca="false">K8+IF(L$3&gt;=Assumptions!$B$24,INDEX(Assumptions!$B$25:$B$27,L$4),0)</f>
        <v>4</v>
      </c>
      <c r="M8" s="16" t="n">
        <f aca="false">L8+IF(M$3&gt;=Assumptions!$B$24,INDEX(Assumptions!$B$25:$B$27,M$4),0)</f>
        <v>5</v>
      </c>
      <c r="N8" s="16" t="n">
        <f aca="false">M8+IF(N$3&gt;=Assumptions!$B$24,INDEX(Assumptions!$B$25:$B$27,N$4),0)</f>
        <v>6</v>
      </c>
      <c r="O8" s="16" t="n">
        <f aca="false">N8+IF(O$3&gt;=Assumptions!$B$24,INDEX(Assumptions!$B$25:$B$27,O$4),0)</f>
        <v>8</v>
      </c>
      <c r="P8" s="16" t="n">
        <f aca="false">O8+IF(P$3&gt;=Assumptions!$B$24,INDEX(Assumptions!$B$25:$B$27,P$4),0)</f>
        <v>10</v>
      </c>
      <c r="Q8" s="16" t="n">
        <f aca="false">P8+IF(Q$3&gt;=Assumptions!$B$24,INDEX(Assumptions!$B$25:$B$27,Q$4),0)</f>
        <v>12</v>
      </c>
      <c r="R8" s="16" t="n">
        <f aca="false">Q8+IF(R$3&gt;=Assumptions!$B$24,INDEX(Assumptions!$B$25:$B$27,R$4),0)</f>
        <v>14</v>
      </c>
      <c r="S8" s="16" t="n">
        <f aca="false">R8+IF(S$3&gt;=Assumptions!$B$24,INDEX(Assumptions!$B$25:$B$27,S$4),0)</f>
        <v>16</v>
      </c>
      <c r="T8" s="16" t="n">
        <f aca="false">S8+IF(T$3&gt;=Assumptions!$B$24,INDEX(Assumptions!$B$25:$B$27,T$4),0)</f>
        <v>18</v>
      </c>
      <c r="U8" s="16" t="n">
        <f aca="false">T8+IF(U$3&gt;=Assumptions!$B$24,INDEX(Assumptions!$B$25:$B$27,U$4),0)</f>
        <v>20</v>
      </c>
      <c r="V8" s="16" t="n">
        <f aca="false">U8+IF(V$3&gt;=Assumptions!$B$24,INDEX(Assumptions!$B$25:$B$27,V$4),0)</f>
        <v>22</v>
      </c>
      <c r="W8" s="16" t="n">
        <f aca="false">V8+IF(W$3&gt;=Assumptions!$B$24,INDEX(Assumptions!$B$25:$B$27,W$4),0)</f>
        <v>24</v>
      </c>
      <c r="X8" s="16" t="n">
        <f aca="false">W8+IF(X$3&gt;=Assumptions!$B$24,INDEX(Assumptions!$B$25:$B$27,X$4),0)</f>
        <v>26</v>
      </c>
      <c r="Y8" s="16" t="n">
        <f aca="false">X8+IF(Y$3&gt;=Assumptions!$B$24,INDEX(Assumptions!$B$25:$B$27,Y$4),0)</f>
        <v>28</v>
      </c>
      <c r="Z8" s="16" t="n">
        <f aca="false">Y8+IF(Z$3&gt;=Assumptions!$B$24,INDEX(Assumptions!$B$25:$B$27,Z$4),0)</f>
        <v>30</v>
      </c>
      <c r="AA8" s="16" t="n">
        <f aca="false">Z8+IF(AA$3&gt;=Assumptions!$B$24,INDEX(Assumptions!$B$25:$B$27,AA$4),0)</f>
        <v>33</v>
      </c>
      <c r="AB8" s="16" t="n">
        <f aca="false">AA8+IF(AB$3&gt;=Assumptions!$B$24,INDEX(Assumptions!$B$25:$B$27,AB$4),0)</f>
        <v>36</v>
      </c>
      <c r="AC8" s="16" t="n">
        <f aca="false">AB8+IF(AC$3&gt;=Assumptions!$B$24,INDEX(Assumptions!$B$25:$B$27,AC$4),0)</f>
        <v>39</v>
      </c>
      <c r="AD8" s="16" t="n">
        <f aca="false">AC8+IF(AD$3&gt;=Assumptions!$B$24,INDEX(Assumptions!$B$25:$B$27,AD$4),0)</f>
        <v>42</v>
      </c>
      <c r="AE8" s="16" t="n">
        <f aca="false">AD8+IF(AE$3&gt;=Assumptions!$B$24,INDEX(Assumptions!$B$25:$B$27,AE$4),0)</f>
        <v>45</v>
      </c>
      <c r="AF8" s="16" t="n">
        <f aca="false">AE8+IF(AF$3&gt;=Assumptions!$B$24,INDEX(Assumptions!$B$25:$B$27,AF$4),0)</f>
        <v>48</v>
      </c>
      <c r="AG8" s="16" t="n">
        <f aca="false">AF8+IF(AG$3&gt;=Assumptions!$B$24,INDEX(Assumptions!$B$25:$B$27,AG$4),0)</f>
        <v>51</v>
      </c>
      <c r="AH8" s="16" t="n">
        <f aca="false">AG8+IF(AH$3&gt;=Assumptions!$B$24,INDEX(Assumptions!$B$25:$B$27,AH$4),0)</f>
        <v>54</v>
      </c>
      <c r="AI8" s="16" t="n">
        <f aca="false">AH8+IF(AI$3&gt;=Assumptions!$B$24,INDEX(Assumptions!$B$25:$B$27,AI$4),0)</f>
        <v>57</v>
      </c>
      <c r="AJ8" s="16" t="n">
        <f aca="false">AI8+IF(AJ$3&gt;=Assumptions!$B$24,INDEX(Assumptions!$B$25:$B$27,AJ$4),0)</f>
        <v>60</v>
      </c>
      <c r="AK8" s="16" t="n">
        <f aca="false">AJ8+IF(AK$3&gt;=Assumptions!$B$24,INDEX(Assumptions!$B$25:$B$27,AK$4),0)</f>
        <v>63</v>
      </c>
      <c r="AL8" s="16" t="n">
        <f aca="false">AK8+IF(AL$3&gt;=Assumptions!$B$24,INDEX(Assumptions!$B$25:$B$27,AL$4),0)</f>
        <v>66</v>
      </c>
    </row>
    <row r="9" customFormat="false" ht="15" hidden="false" customHeight="false" outlineLevel="0" collapsed="false">
      <c r="A9" s="6" t="s">
        <v>122</v>
      </c>
      <c r="C9" s="16" t="n">
        <f aca="false">C8*Assumptions!$B$28</f>
        <v>0</v>
      </c>
      <c r="D9" s="16" t="n">
        <f aca="false">D8*Assumptions!$B$28</f>
        <v>0</v>
      </c>
      <c r="E9" s="16" t="n">
        <f aca="false">E8*Assumptions!$B$28</f>
        <v>0</v>
      </c>
      <c r="F9" s="16" t="n">
        <f aca="false">F8*Assumptions!$B$28</f>
        <v>0</v>
      </c>
      <c r="G9" s="16" t="n">
        <f aca="false">G8*Assumptions!$B$28</f>
        <v>0</v>
      </c>
      <c r="H9" s="16" t="n">
        <f aca="false">H8*Assumptions!$B$28</f>
        <v>0</v>
      </c>
      <c r="I9" s="16" t="n">
        <f aca="false">I8*Assumptions!$B$28</f>
        <v>1</v>
      </c>
      <c r="J9" s="16" t="n">
        <f aca="false">J8*Assumptions!$B$28</f>
        <v>2</v>
      </c>
      <c r="K9" s="16" t="n">
        <f aca="false">K8*Assumptions!$B$28</f>
        <v>3</v>
      </c>
      <c r="L9" s="16" t="n">
        <f aca="false">L8*Assumptions!$B$28</f>
        <v>4</v>
      </c>
      <c r="M9" s="16" t="n">
        <f aca="false">M8*Assumptions!$B$28</f>
        <v>5</v>
      </c>
      <c r="N9" s="16" t="n">
        <f aca="false">N8*Assumptions!$B$28</f>
        <v>6</v>
      </c>
      <c r="O9" s="16" t="n">
        <f aca="false">O8*Assumptions!$B$28</f>
        <v>8</v>
      </c>
      <c r="P9" s="16" t="n">
        <f aca="false">P8*Assumptions!$B$28</f>
        <v>10</v>
      </c>
      <c r="Q9" s="16" t="n">
        <f aca="false">Q8*Assumptions!$B$28</f>
        <v>12</v>
      </c>
      <c r="R9" s="16" t="n">
        <f aca="false">R8*Assumptions!$B$28</f>
        <v>14</v>
      </c>
      <c r="S9" s="16" t="n">
        <f aca="false">S8*Assumptions!$B$28</f>
        <v>16</v>
      </c>
      <c r="T9" s="16" t="n">
        <f aca="false">T8*Assumptions!$B$28</f>
        <v>18</v>
      </c>
      <c r="U9" s="16" t="n">
        <f aca="false">U8*Assumptions!$B$28</f>
        <v>20</v>
      </c>
      <c r="V9" s="16" t="n">
        <f aca="false">V8*Assumptions!$B$28</f>
        <v>22</v>
      </c>
      <c r="W9" s="16" t="n">
        <f aca="false">W8*Assumptions!$B$28</f>
        <v>24</v>
      </c>
      <c r="X9" s="16" t="n">
        <f aca="false">X8*Assumptions!$B$28</f>
        <v>26</v>
      </c>
      <c r="Y9" s="16" t="n">
        <f aca="false">Y8*Assumptions!$B$28</f>
        <v>28</v>
      </c>
      <c r="Z9" s="16" t="n">
        <f aca="false">Z8*Assumptions!$B$28</f>
        <v>30</v>
      </c>
      <c r="AA9" s="16" t="n">
        <f aca="false">AA8*Assumptions!$B$28</f>
        <v>33</v>
      </c>
      <c r="AB9" s="16" t="n">
        <f aca="false">AB8*Assumptions!$B$28</f>
        <v>36</v>
      </c>
      <c r="AC9" s="16" t="n">
        <f aca="false">AC8*Assumptions!$B$28</f>
        <v>39</v>
      </c>
      <c r="AD9" s="16" t="n">
        <f aca="false">AD8*Assumptions!$B$28</f>
        <v>42</v>
      </c>
      <c r="AE9" s="16" t="n">
        <f aca="false">AE8*Assumptions!$B$28</f>
        <v>45</v>
      </c>
      <c r="AF9" s="16" t="n">
        <f aca="false">AF8*Assumptions!$B$28</f>
        <v>48</v>
      </c>
      <c r="AG9" s="16" t="n">
        <f aca="false">AG8*Assumptions!$B$28</f>
        <v>51</v>
      </c>
      <c r="AH9" s="16" t="n">
        <f aca="false">AH8*Assumptions!$B$28</f>
        <v>54</v>
      </c>
      <c r="AI9" s="16" t="n">
        <f aca="false">AI8*Assumptions!$B$28</f>
        <v>57</v>
      </c>
      <c r="AJ9" s="16" t="n">
        <f aca="false">AJ8*Assumptions!$B$28</f>
        <v>60</v>
      </c>
      <c r="AK9" s="16" t="n">
        <f aca="false">AK8*Assumptions!$B$28</f>
        <v>63</v>
      </c>
      <c r="AL9" s="16" t="n">
        <f aca="false">AL8*Assumptions!$B$28</f>
        <v>66</v>
      </c>
    </row>
    <row r="10" customFormat="false" ht="15" hidden="false" customHeight="false" outlineLevel="0" collapsed="false">
      <c r="A10" s="4" t="s">
        <v>123</v>
      </c>
      <c r="C10" s="31" t="n">
        <f aca="false">C7+C9</f>
        <v>5</v>
      </c>
      <c r="D10" s="31" t="n">
        <f aca="false">D7+D9</f>
        <v>5.75</v>
      </c>
      <c r="E10" s="31" t="n">
        <f aca="false">E7+E9</f>
        <v>6.6125</v>
      </c>
      <c r="F10" s="31" t="n">
        <f aca="false">F7+F9</f>
        <v>7.604375</v>
      </c>
      <c r="G10" s="31" t="n">
        <f aca="false">G7+G9</f>
        <v>8.74503125</v>
      </c>
      <c r="H10" s="31" t="n">
        <f aca="false">H7+H9</f>
        <v>10.0567859375</v>
      </c>
      <c r="I10" s="31" t="n">
        <f aca="false">I7+I9</f>
        <v>12.565303828125</v>
      </c>
      <c r="J10" s="31" t="n">
        <f aca="false">J7+J9</f>
        <v>15.3000994023437</v>
      </c>
      <c r="K10" s="31" t="n">
        <f aca="false">K7+K9</f>
        <v>18.2951143126953</v>
      </c>
      <c r="L10" s="31" t="n">
        <f aca="false">L7+L9</f>
        <v>21.5893814595996</v>
      </c>
      <c r="M10" s="31" t="n">
        <f aca="false">M7+M9</f>
        <v>25.2277886785395</v>
      </c>
      <c r="N10" s="31" t="n">
        <f aca="false">N7+N9</f>
        <v>29.2619569803205</v>
      </c>
      <c r="O10" s="31" t="n">
        <f aca="false">O7+O9</f>
        <v>32.6576743991397</v>
      </c>
      <c r="P10" s="31" t="n">
        <f aca="false">P7+P9</f>
        <v>36.1371348630881</v>
      </c>
      <c r="Q10" s="31" t="n">
        <f aca="false">Q7+Q9</f>
        <v>39.7053629548734</v>
      </c>
      <c r="R10" s="31" t="n">
        <f aca="false">R7+R9</f>
        <v>43.3676847321658</v>
      </c>
      <c r="S10" s="31" t="n">
        <f aca="false">S7+S9</f>
        <v>47.1297458160957</v>
      </c>
      <c r="T10" s="31" t="n">
        <f aca="false">T7+T9</f>
        <v>50.9975305650615</v>
      </c>
      <c r="U10" s="31" t="n">
        <f aca="false">U7+U9</f>
        <v>54.9773823989652</v>
      </c>
      <c r="V10" s="31" t="n">
        <f aca="false">V7+V9</f>
        <v>59.0760253429031</v>
      </c>
      <c r="W10" s="31" t="n">
        <f aca="false">W7+W9</f>
        <v>63.3005868634773</v>
      </c>
      <c r="X10" s="31" t="n">
        <f aca="false">X7+X9</f>
        <v>67.6586220752859</v>
      </c>
      <c r="Y10" s="31" t="n">
        <f aca="false">Y7+Y9</f>
        <v>72.1581393998031</v>
      </c>
      <c r="Z10" s="31" t="n">
        <f aca="false">Z7+Z9</f>
        <v>76.8076277637912</v>
      </c>
      <c r="AA10" s="31" t="n">
        <f aca="false">AA7+AA9</f>
        <v>81.211856596705</v>
      </c>
      <c r="AB10" s="31" t="n">
        <f aca="false">AB7+AB9</f>
        <v>85.6582122946061</v>
      </c>
      <c r="AC10" s="31" t="n">
        <f aca="false">AC7+AC9</f>
        <v>90.1479586634443</v>
      </c>
      <c r="AD10" s="31" t="n">
        <f aca="false">AD7+AD9</f>
        <v>94.6823974233476</v>
      </c>
      <c r="AE10" s="31" t="n">
        <f aca="false">AE7+AE9</f>
        <v>99.2628693460481</v>
      </c>
      <c r="AF10" s="31" t="n">
        <f aca="false">AF7+AF9</f>
        <v>103.89075542643</v>
      </c>
      <c r="AG10" s="31" t="n">
        <f aca="false">AG7+AG9</f>
        <v>108.567478089222</v>
      </c>
      <c r="AH10" s="31" t="n">
        <f aca="false">AH7+AH9</f>
        <v>113.294502431899</v>
      </c>
      <c r="AI10" s="31" t="n">
        <f aca="false">AI7+AI9</f>
        <v>118.073337504856</v>
      </c>
      <c r="AJ10" s="31" t="n">
        <f aca="false">AJ7+AJ9</f>
        <v>122.905537630002</v>
      </c>
      <c r="AK10" s="31" t="n">
        <f aca="false">AK7+AK9</f>
        <v>127.792703758902</v>
      </c>
      <c r="AL10" s="31" t="n">
        <f aca="false">AL7+AL9</f>
        <v>132.736484871669</v>
      </c>
    </row>
    <row r="11" customFormat="false" ht="15" hidden="false" customHeight="false" outlineLevel="0" collapsed="false">
      <c r="A11" s="6" t="s">
        <v>124</v>
      </c>
      <c r="C11" s="16" t="n">
        <f aca="false">C7</f>
        <v>5</v>
      </c>
      <c r="D11" s="16" t="n">
        <f aca="false">C11*(1-Assumptions!$B$30)+D7</f>
        <v>10.6</v>
      </c>
      <c r="E11" s="16" t="n">
        <f aca="false">D11*(1-Assumptions!$B$30)+E7</f>
        <v>16.8945</v>
      </c>
      <c r="F11" s="16" t="n">
        <f aca="false">E11*(1-Assumptions!$B$30)+F7</f>
        <v>23.99204</v>
      </c>
      <c r="G11" s="16" t="n">
        <f aca="false">F11*(1-Assumptions!$B$30)+G7</f>
        <v>32.01731005</v>
      </c>
      <c r="H11" s="16" t="n">
        <f aca="false">G11*(1-Assumptions!$B$30)+H7</f>
        <v>41.113576686</v>
      </c>
      <c r="I11" s="16" t="n">
        <f aca="false">H11*(1-Assumptions!$B$30)+I7</f>
        <v>51.445473213545</v>
      </c>
      <c r="J11" s="16" t="n">
        <f aca="false">I11*(1-Assumptions!$B$30)+J7</f>
        <v>63.2022084194824</v>
      </c>
      <c r="K11" s="16" t="n">
        <f aca="false">J11*(1-Assumptions!$B$30)+K7</f>
        <v>76.6012564795932</v>
      </c>
      <c r="L11" s="16" t="n">
        <f aca="false">K11*(1-Assumptions!$B$30)+L7</f>
        <v>91.892600244805</v>
      </c>
      <c r="M11" s="16" t="n">
        <f aca="false">L11*(1-Assumptions!$B$30)+M7</f>
        <v>109.363610916</v>
      </c>
      <c r="N11" s="16" t="n">
        <f aca="false">M11*(1-Assumptions!$B$30)+N7</f>
        <v>129.344659568841</v>
      </c>
      <c r="O11" s="16" t="n">
        <f aca="false">N11*(1-Assumptions!$B$30)+O7</f>
        <v>150.121994180915</v>
      </c>
      <c r="P11" s="16" t="n">
        <f aca="false">O11*(1-Assumptions!$B$30)+P7</f>
        <v>171.755469218576</v>
      </c>
      <c r="Q11" s="16" t="n">
        <f aca="false">P11*(1-Assumptions!$B$30)+Q7</f>
        <v>194.308168096892</v>
      </c>
      <c r="R11" s="16" t="n">
        <f aca="false">Q11*(1-Assumptions!$B$30)+R7</f>
        <v>217.846607786151</v>
      </c>
      <c r="S11" s="16" t="n">
        <f aca="false">R11*(1-Assumptions!$B$30)+S7</f>
        <v>242.440955368662</v>
      </c>
      <c r="T11" s="16" t="n">
        <f aca="false">S11*(1-Assumptions!$B$30)+T7</f>
        <v>268.165257272664</v>
      </c>
      <c r="U11" s="16" t="n">
        <f aca="false">T11*(1-Assumptions!$B$30)+U7</f>
        <v>295.097681953449</v>
      </c>
      <c r="V11" s="16" t="n">
        <f aca="false">U11*(1-Assumptions!$B$30)+V7</f>
        <v>323.320776837749</v>
      </c>
      <c r="W11" s="16" t="n">
        <f aca="false">V11*(1-Assumptions!$B$30)+W7</f>
        <v>352.921740396093</v>
      </c>
      <c r="X11" s="16" t="n">
        <f aca="false">W11*(1-Assumptions!$B$30)+X7</f>
        <v>383.992710259497</v>
      </c>
      <c r="Y11" s="16" t="n">
        <f aca="false">X11*(1-Assumptions!$B$30)+Y7</f>
        <v>416.631068351515</v>
      </c>
      <c r="Z11" s="16" t="n">
        <f aca="false">Y11*(1-Assumptions!$B$30)+Z7</f>
        <v>450.93976406476</v>
      </c>
      <c r="AA11" s="16" t="n">
        <f aca="false">Z11*(1-Assumptions!$B$30)+AA7</f>
        <v>485.623427739523</v>
      </c>
      <c r="AB11" s="16" t="n">
        <f aca="false">AA11*(1-Assumptions!$B$30)+AB7</f>
        <v>520.712937201943</v>
      </c>
      <c r="AC11" s="16" t="n">
        <f aca="false">AB11*(1-Assumptions!$B$30)+AC7</f>
        <v>556.239507749329</v>
      </c>
      <c r="AD11" s="16" t="n">
        <f aca="false">AC11*(1-Assumptions!$B$30)+AD7</f>
        <v>592.234719940197</v>
      </c>
      <c r="AE11" s="16" t="n">
        <f aca="false">AD11*(1-Assumptions!$B$30)+AE7</f>
        <v>628.730547688039</v>
      </c>
      <c r="AF11" s="16" t="n">
        <f aca="false">AE11*(1-Assumptions!$B$30)+AF7</f>
        <v>665.759386683827</v>
      </c>
      <c r="AG11" s="16" t="n">
        <f aca="false">AF11*(1-Assumptions!$B$30)+AG7</f>
        <v>703.354083172535</v>
      </c>
      <c r="AH11" s="16" t="n">
        <f aca="false">AG11*(1-Assumptions!$B$30)+AH7</f>
        <v>741.547963109258</v>
      </c>
      <c r="AI11" s="16" t="n">
        <f aca="false">AH11*(1-Assumptions!$B$30)+AI7</f>
        <v>780.374861720836</v>
      </c>
      <c r="AJ11" s="16" t="n">
        <f aca="false">AI11*(1-Assumptions!$B$30)+AJ7</f>
        <v>819.869153499213</v>
      </c>
      <c r="AK11" s="16" t="n">
        <f aca="false">AJ11*(1-Assumptions!$B$30)+AK7</f>
        <v>860.065782653138</v>
      </c>
      <c r="AL11" s="16" t="n">
        <f aca="false">AK11*(1-Assumptions!$B$30)+AL7</f>
        <v>901.000294045213</v>
      </c>
    </row>
    <row r="12" customFormat="false" ht="15" hidden="false" customHeight="false" outlineLevel="0" collapsed="false">
      <c r="A12" s="6" t="s">
        <v>125</v>
      </c>
      <c r="C12" s="16" t="n">
        <f aca="false">C9</f>
        <v>0</v>
      </c>
      <c r="D12" s="16" t="n">
        <f aca="false">C12*(1-Assumptions!$B$30)+D9</f>
        <v>0</v>
      </c>
      <c r="E12" s="16" t="n">
        <f aca="false">D12*(1-Assumptions!$B$30)+E9</f>
        <v>0</v>
      </c>
      <c r="F12" s="16" t="n">
        <f aca="false">E12*(1-Assumptions!$B$30)+F9</f>
        <v>0</v>
      </c>
      <c r="G12" s="16" t="n">
        <f aca="false">F12*(1-Assumptions!$B$30)+G9</f>
        <v>0</v>
      </c>
      <c r="H12" s="16" t="n">
        <f aca="false">G12*(1-Assumptions!$B$30)+H9</f>
        <v>0</v>
      </c>
      <c r="I12" s="16" t="n">
        <f aca="false">H12*(1-Assumptions!$B$30)+I9</f>
        <v>1</v>
      </c>
      <c r="J12" s="16" t="n">
        <f aca="false">I12*(1-Assumptions!$B$30)+J9</f>
        <v>2.97</v>
      </c>
      <c r="K12" s="16" t="n">
        <f aca="false">J12*(1-Assumptions!$B$30)+K9</f>
        <v>5.8809</v>
      </c>
      <c r="L12" s="16" t="n">
        <f aca="false">K12*(1-Assumptions!$B$30)+L9</f>
        <v>9.704473</v>
      </c>
      <c r="M12" s="16" t="n">
        <f aca="false">L12*(1-Assumptions!$B$30)+M9</f>
        <v>14.41333881</v>
      </c>
      <c r="N12" s="16" t="n">
        <f aca="false">M12*(1-Assumptions!$B$30)+N9</f>
        <v>19.9809386457</v>
      </c>
      <c r="O12" s="16" t="n">
        <f aca="false">N12*(1-Assumptions!$B$30)+O9</f>
        <v>27.381510486329</v>
      </c>
      <c r="P12" s="16" t="n">
        <f aca="false">O12*(1-Assumptions!$B$30)+P9</f>
        <v>36.5600651717391</v>
      </c>
      <c r="Q12" s="16" t="n">
        <f aca="false">P12*(1-Assumptions!$B$30)+Q9</f>
        <v>47.463263216587</v>
      </c>
      <c r="R12" s="16" t="n">
        <f aca="false">Q12*(1-Assumptions!$B$30)+R9</f>
        <v>60.0393653200893</v>
      </c>
      <c r="S12" s="16" t="n">
        <f aca="false">R12*(1-Assumptions!$B$30)+S9</f>
        <v>74.2381843604867</v>
      </c>
      <c r="T12" s="16" t="n">
        <f aca="false">S12*(1-Assumptions!$B$30)+T9</f>
        <v>90.0110388296721</v>
      </c>
      <c r="U12" s="16" t="n">
        <f aca="false">T12*(1-Assumptions!$B$30)+U9</f>
        <v>107.310707664782</v>
      </c>
      <c r="V12" s="16" t="n">
        <f aca="false">U12*(1-Assumptions!$B$30)+V9</f>
        <v>126.091386434838</v>
      </c>
      <c r="W12" s="16" t="n">
        <f aca="false">V12*(1-Assumptions!$B$30)+W9</f>
        <v>146.308644841793</v>
      </c>
      <c r="X12" s="16" t="n">
        <f aca="false">W12*(1-Assumptions!$B$30)+X9</f>
        <v>167.91938549654</v>
      </c>
      <c r="Y12" s="16" t="n">
        <f aca="false">X12*(1-Assumptions!$B$30)+Y9</f>
        <v>190.881803931643</v>
      </c>
      <c r="Z12" s="16" t="n">
        <f aca="false">Y12*(1-Assumptions!$B$30)+Z9</f>
        <v>215.155349813694</v>
      </c>
      <c r="AA12" s="16" t="n">
        <f aca="false">Z12*(1-Assumptions!$B$30)+AA9</f>
        <v>241.700689319283</v>
      </c>
      <c r="AB12" s="16" t="n">
        <f aca="false">AA12*(1-Assumptions!$B$30)+AB9</f>
        <v>270.449668639705</v>
      </c>
      <c r="AC12" s="16" t="n">
        <f aca="false">AB12*(1-Assumptions!$B$30)+AC9</f>
        <v>301.336178580514</v>
      </c>
      <c r="AD12" s="16" t="n">
        <f aca="false">AC12*(1-Assumptions!$B$30)+AD9</f>
        <v>334.296093223098</v>
      </c>
      <c r="AE12" s="16" t="n">
        <f aca="false">AD12*(1-Assumptions!$B$30)+AE9</f>
        <v>369.267210426405</v>
      </c>
      <c r="AF12" s="16" t="n">
        <f aca="false">AE12*(1-Assumptions!$B$30)+AF9</f>
        <v>406.189194113613</v>
      </c>
      <c r="AG12" s="16" t="n">
        <f aca="false">AF12*(1-Assumptions!$B$30)+AG9</f>
        <v>445.003518290205</v>
      </c>
      <c r="AH12" s="16" t="n">
        <f aca="false">AG12*(1-Assumptions!$B$30)+AH9</f>
        <v>485.653412741498</v>
      </c>
      <c r="AI12" s="16" t="n">
        <f aca="false">AH12*(1-Assumptions!$B$30)+AI9</f>
        <v>528.083810359253</v>
      </c>
      <c r="AJ12" s="16" t="n">
        <f aca="false">AI12*(1-Assumptions!$B$30)+AJ9</f>
        <v>572.241296048476</v>
      </c>
      <c r="AK12" s="16" t="n">
        <f aca="false">AJ12*(1-Assumptions!$B$30)+AK9</f>
        <v>618.074057167022</v>
      </c>
      <c r="AL12" s="16" t="n">
        <f aca="false">AK12*(1-Assumptions!$B$30)+AL9</f>
        <v>665.531835452011</v>
      </c>
    </row>
    <row r="13" customFormat="false" ht="15" hidden="false" customHeight="false" outlineLevel="0" collapsed="false">
      <c r="A13" s="32" t="s">
        <v>126</v>
      </c>
      <c r="C13" s="33" t="n">
        <f aca="false">C11+C12</f>
        <v>5</v>
      </c>
      <c r="D13" s="33" t="n">
        <f aca="false">D11+D12</f>
        <v>10.6</v>
      </c>
      <c r="E13" s="33" t="n">
        <f aca="false">E11+E12</f>
        <v>16.8945</v>
      </c>
      <c r="F13" s="33" t="n">
        <f aca="false">F11+F12</f>
        <v>23.99204</v>
      </c>
      <c r="G13" s="33" t="n">
        <f aca="false">G11+G12</f>
        <v>32.01731005</v>
      </c>
      <c r="H13" s="33" t="n">
        <f aca="false">H11+H12</f>
        <v>41.113576686</v>
      </c>
      <c r="I13" s="33" t="n">
        <f aca="false">I11+I12</f>
        <v>52.445473213545</v>
      </c>
      <c r="J13" s="33" t="n">
        <f aca="false">J11+J12</f>
        <v>66.1722084194824</v>
      </c>
      <c r="K13" s="33" t="n">
        <f aca="false">K11+K12</f>
        <v>82.4821564795932</v>
      </c>
      <c r="L13" s="33" t="n">
        <f aca="false">L11+L12</f>
        <v>101.597073244805</v>
      </c>
      <c r="M13" s="33" t="n">
        <f aca="false">M11+M12</f>
        <v>123.776949726</v>
      </c>
      <c r="N13" s="33" t="n">
        <f aca="false">N11+N12</f>
        <v>149.325598214541</v>
      </c>
      <c r="O13" s="33" t="n">
        <f aca="false">O11+O12</f>
        <v>177.503504667244</v>
      </c>
      <c r="P13" s="33" t="n">
        <f aca="false">P11+P12</f>
        <v>208.315534390315</v>
      </c>
      <c r="Q13" s="33" t="n">
        <f aca="false">Q11+Q12</f>
        <v>241.771431313479</v>
      </c>
      <c r="R13" s="33" t="n">
        <f aca="false">R11+R12</f>
        <v>277.88597310624</v>
      </c>
      <c r="S13" s="33" t="n">
        <f aca="false">S11+S12</f>
        <v>316.679139729149</v>
      </c>
      <c r="T13" s="33" t="n">
        <f aca="false">T11+T12</f>
        <v>358.176296102336</v>
      </c>
      <c r="U13" s="33" t="n">
        <f aca="false">U11+U12</f>
        <v>402.408389618231</v>
      </c>
      <c r="V13" s="33" t="n">
        <f aca="false">V11+V12</f>
        <v>449.412163272587</v>
      </c>
      <c r="W13" s="33" t="n">
        <f aca="false">W11+W12</f>
        <v>499.230385237887</v>
      </c>
      <c r="X13" s="33" t="n">
        <f aca="false">X11+X12</f>
        <v>551.912095756036</v>
      </c>
      <c r="Y13" s="33" t="n">
        <f aca="false">Y11+Y12</f>
        <v>607.512872283158</v>
      </c>
      <c r="Z13" s="33" t="n">
        <f aca="false">Z11+Z12</f>
        <v>666.095113878454</v>
      </c>
      <c r="AA13" s="33" t="n">
        <f aca="false">AA11+AA12</f>
        <v>727.324117058806</v>
      </c>
      <c r="AB13" s="33" t="n">
        <f aca="false">AB11+AB12</f>
        <v>791.162605841648</v>
      </c>
      <c r="AC13" s="33" t="n">
        <f aca="false">AC11+AC12</f>
        <v>857.575686329843</v>
      </c>
      <c r="AD13" s="33" t="n">
        <f aca="false">AD11+AD12</f>
        <v>926.530813163295</v>
      </c>
      <c r="AE13" s="33" t="n">
        <f aca="false">AE11+AE12</f>
        <v>997.997758114444</v>
      </c>
      <c r="AF13" s="33" t="n">
        <f aca="false">AF11+AF12</f>
        <v>1071.94858079744</v>
      </c>
      <c r="AG13" s="33" t="n">
        <f aca="false">AG11+AG12</f>
        <v>1148.35760146274</v>
      </c>
      <c r="AH13" s="33" t="n">
        <f aca="false">AH11+AH12</f>
        <v>1227.20137585076</v>
      </c>
      <c r="AI13" s="33" t="n">
        <f aca="false">AI11+AI12</f>
        <v>1308.45867208009</v>
      </c>
      <c r="AJ13" s="33" t="n">
        <f aca="false">AJ11+AJ12</f>
        <v>1392.11044954769</v>
      </c>
      <c r="AK13" s="33" t="n">
        <f aca="false">AK11+AK12</f>
        <v>1478.13983982016</v>
      </c>
      <c r="AL13" s="33" t="n">
        <f aca="false">AL11+AL12</f>
        <v>1566.53212949722</v>
      </c>
    </row>
    <row r="14" customFormat="false" ht="15" hidden="false" customHeight="false" outlineLevel="0" collapsed="false">
      <c r="A14" s="6" t="s">
        <v>127</v>
      </c>
      <c r="C14" s="16" t="n">
        <f aca="false">0</f>
        <v>0</v>
      </c>
      <c r="D14" s="16" t="n">
        <f aca="false">(C11+C12)*Assumptions!$B$30</f>
        <v>0.15</v>
      </c>
      <c r="E14" s="16" t="n">
        <f aca="false">(D11+D12)*Assumptions!$B$30</f>
        <v>0.318</v>
      </c>
      <c r="F14" s="16" t="n">
        <f aca="false">(E11+E12)*Assumptions!$B$30</f>
        <v>0.506835</v>
      </c>
      <c r="G14" s="16" t="n">
        <f aca="false">(F11+F12)*Assumptions!$B$30</f>
        <v>0.7197612</v>
      </c>
      <c r="H14" s="16" t="n">
        <f aca="false">(G11+G12)*Assumptions!$B$30</f>
        <v>0.9605193015</v>
      </c>
      <c r="I14" s="16" t="n">
        <f aca="false">(H11+H12)*Assumptions!$B$30</f>
        <v>1.23340730058</v>
      </c>
      <c r="J14" s="16" t="n">
        <f aca="false">(I11+I12)*Assumptions!$B$30</f>
        <v>1.57336419640635</v>
      </c>
      <c r="K14" s="16" t="n">
        <f aca="false">(J11+J12)*Assumptions!$B$30</f>
        <v>1.98516625258447</v>
      </c>
      <c r="L14" s="16" t="n">
        <f aca="false">(K11+K12)*Assumptions!$B$30</f>
        <v>2.4744646943878</v>
      </c>
      <c r="M14" s="16" t="n">
        <f aca="false">(L11+L12)*Assumptions!$B$30</f>
        <v>3.04791219734415</v>
      </c>
      <c r="N14" s="16" t="n">
        <f aca="false">(M11+M12)*Assumptions!$B$30</f>
        <v>3.71330849178001</v>
      </c>
      <c r="O14" s="16" t="n">
        <f aca="false">(N11+N12)*Assumptions!$B$30</f>
        <v>4.47976794643623</v>
      </c>
      <c r="P14" s="16" t="n">
        <f aca="false">(O11+O12)*Assumptions!$B$30</f>
        <v>5.32510514001733</v>
      </c>
      <c r="Q14" s="16" t="n">
        <f aca="false">(P11+P12)*Assumptions!$B$30</f>
        <v>6.24946603170945</v>
      </c>
      <c r="R14" s="16" t="n">
        <f aca="false">(Q11+Q12)*Assumptions!$B$30</f>
        <v>7.25314293940437</v>
      </c>
      <c r="S14" s="16" t="n">
        <f aca="false">(R11+R12)*Assumptions!$B$30</f>
        <v>8.33657919318721</v>
      </c>
      <c r="T14" s="16" t="n">
        <f aca="false">(S11+S12)*Assumptions!$B$30</f>
        <v>9.50037419187447</v>
      </c>
      <c r="U14" s="16" t="n">
        <f aca="false">(T11+T12)*Assumptions!$B$30</f>
        <v>10.7452888830701</v>
      </c>
      <c r="V14" s="16" t="n">
        <f aca="false">(U11+U12)*Assumptions!$B$30</f>
        <v>12.0722516885469</v>
      </c>
      <c r="W14" s="16" t="n">
        <f aca="false">(V11+V12)*Assumptions!$B$30</f>
        <v>13.4823648981776</v>
      </c>
      <c r="X14" s="16" t="n">
        <f aca="false">(W11+W12)*Assumptions!$B$30</f>
        <v>14.9769115571366</v>
      </c>
      <c r="Y14" s="16" t="n">
        <f aca="false">(X11+X12)*Assumptions!$B$30</f>
        <v>16.5573628726811</v>
      </c>
      <c r="Z14" s="16" t="n">
        <f aca="false">(Y11+Y12)*Assumptions!$B$30</f>
        <v>18.2253861684947</v>
      </c>
      <c r="AA14" s="16" t="n">
        <f aca="false">(Z11+Z12)*Assumptions!$B$30</f>
        <v>19.9828534163536</v>
      </c>
      <c r="AB14" s="16" t="n">
        <f aca="false">(AA11+AA12)*Assumptions!$B$30</f>
        <v>21.8197235117642</v>
      </c>
      <c r="AC14" s="16" t="n">
        <f aca="false">(AB11+AB12)*Assumptions!$B$30</f>
        <v>23.7348781752494</v>
      </c>
      <c r="AD14" s="16" t="n">
        <f aca="false">(AC11+AC12)*Assumptions!$B$30</f>
        <v>25.7272705898953</v>
      </c>
      <c r="AE14" s="16" t="n">
        <f aca="false">(AD11+AD12)*Assumptions!$B$30</f>
        <v>27.7959243948988</v>
      </c>
      <c r="AF14" s="16" t="n">
        <f aca="false">(AE11+AE12)*Assumptions!$B$30</f>
        <v>29.9399327434333</v>
      </c>
      <c r="AG14" s="16" t="n">
        <f aca="false">(AF11+AF12)*Assumptions!$B$30</f>
        <v>32.1584574239232</v>
      </c>
      <c r="AH14" s="16" t="n">
        <f aca="false">(AG11+AG12)*Assumptions!$B$30</f>
        <v>34.4507280438822</v>
      </c>
      <c r="AI14" s="16" t="n">
        <f aca="false">(AH11+AH12)*Assumptions!$B$30</f>
        <v>36.8160412755227</v>
      </c>
      <c r="AJ14" s="16" t="n">
        <f aca="false">(AI11+AI12)*Assumptions!$B$30</f>
        <v>39.2537601624027</v>
      </c>
      <c r="AK14" s="16" t="n">
        <f aca="false">(AJ11+AJ12)*Assumptions!$B$30</f>
        <v>41.7633134864307</v>
      </c>
      <c r="AL14" s="16" t="n">
        <f aca="false">(AK11+AK12)*Assumptions!$B$30</f>
        <v>44.3441951946048</v>
      </c>
    </row>
    <row r="16" customFormat="false" ht="15" hidden="false" customHeight="false" outlineLevel="0" collapsed="false">
      <c r="A16" s="11" t="s">
        <v>128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</row>
    <row r="17" customFormat="false" ht="15" hidden="false" customHeight="false" outlineLevel="0" collapsed="false">
      <c r="A17" s="6" t="s">
        <v>129</v>
      </c>
      <c r="C17" s="8" t="n">
        <f aca="false">C13*Assumptions!$B$13</f>
        <v>2295</v>
      </c>
      <c r="D17" s="8" t="n">
        <f aca="false">D13*Assumptions!$B$13</f>
        <v>4865.4</v>
      </c>
      <c r="E17" s="8" t="n">
        <f aca="false">E13*Assumptions!$B$13</f>
        <v>7754.5755</v>
      </c>
      <c r="F17" s="8" t="n">
        <f aca="false">F13*Assumptions!$B$13</f>
        <v>11012.34636</v>
      </c>
      <c r="G17" s="8" t="n">
        <f aca="false">G13*Assumptions!$B$13</f>
        <v>14695.94531295</v>
      </c>
      <c r="H17" s="8" t="n">
        <f aca="false">H13*Assumptions!$B$13</f>
        <v>18871.131698874</v>
      </c>
      <c r="I17" s="8" t="n">
        <f aca="false">I13*Assumptions!$B$13</f>
        <v>24072.4722050172</v>
      </c>
      <c r="J17" s="8" t="n">
        <f aca="false">J13*Assumptions!$B$13</f>
        <v>30373.0436645424</v>
      </c>
      <c r="K17" s="8" t="n">
        <f aca="false">K13*Assumptions!$B$13</f>
        <v>37859.3098241333</v>
      </c>
      <c r="L17" s="8" t="n">
        <f aca="false">L13*Assumptions!$B$13</f>
        <v>46633.0566193655</v>
      </c>
      <c r="M17" s="8" t="n">
        <f aca="false">M13*Assumptions!$B$13</f>
        <v>56813.6199242342</v>
      </c>
      <c r="N17" s="8" t="n">
        <f aca="false">N13*Assumptions!$B$13</f>
        <v>68540.4495804743</v>
      </c>
      <c r="O17" s="8" t="n">
        <f aca="false">O13*Assumptions!$B$13</f>
        <v>81474.1086422651</v>
      </c>
      <c r="P17" s="8" t="n">
        <f aca="false">P13*Assumptions!$B$13</f>
        <v>95616.8302851546</v>
      </c>
      <c r="Q17" s="8" t="n">
        <f aca="false">Q13*Assumptions!$B$13</f>
        <v>110973.086972887</v>
      </c>
      <c r="R17" s="8" t="n">
        <f aca="false">R13*Assumptions!$B$13</f>
        <v>127549.661655764</v>
      </c>
      <c r="S17" s="8" t="n">
        <f aca="false">S13*Assumptions!$B$13</f>
        <v>145355.725135679</v>
      </c>
      <c r="T17" s="8" t="n">
        <f aca="false">T13*Assumptions!$B$13</f>
        <v>164402.919910972</v>
      </c>
      <c r="U17" s="8" t="n">
        <f aca="false">U13*Assumptions!$B$13</f>
        <v>184705.450834768</v>
      </c>
      <c r="V17" s="8" t="n">
        <f aca="false">V13*Assumptions!$B$13</f>
        <v>206280.182942117</v>
      </c>
      <c r="W17" s="8" t="n">
        <f aca="false">W13*Assumptions!$B$13</f>
        <v>229146.74682419</v>
      </c>
      <c r="X17" s="8" t="n">
        <f aca="false">X13*Assumptions!$B$13</f>
        <v>253327.651952021</v>
      </c>
      <c r="Y17" s="8" t="n">
        <f aca="false">Y13*Assumptions!$B$13</f>
        <v>278848.408377969</v>
      </c>
      <c r="Z17" s="8" t="n">
        <f aca="false">Z13*Assumptions!$B$13</f>
        <v>305737.657270211</v>
      </c>
      <c r="AA17" s="8" t="n">
        <f aca="false">AA13*Assumptions!$B$13</f>
        <v>333841.769729992</v>
      </c>
      <c r="AB17" s="8" t="n">
        <f aca="false">AB13*Assumptions!$B$13</f>
        <v>363143.636081316</v>
      </c>
      <c r="AC17" s="8" t="n">
        <f aca="false">AC13*Assumptions!$B$13</f>
        <v>393627.240025398</v>
      </c>
      <c r="AD17" s="8" t="n">
        <f aca="false">AD13*Assumptions!$B$13</f>
        <v>425277.643241952</v>
      </c>
      <c r="AE17" s="8" t="n">
        <f aca="false">AE13*Assumptions!$B$13</f>
        <v>458080.97097453</v>
      </c>
      <c r="AF17" s="8" t="n">
        <f aca="false">AF13*Assumptions!$B$13</f>
        <v>492024.398586025</v>
      </c>
      <c r="AG17" s="8" t="n">
        <f aca="false">AG13*Assumptions!$B$13</f>
        <v>527096.139071397</v>
      </c>
      <c r="AH17" s="8" t="n">
        <f aca="false">AH13*Assumptions!$B$13</f>
        <v>563285.431515497</v>
      </c>
      <c r="AI17" s="8" t="n">
        <f aca="false">AI13*Assumptions!$B$13</f>
        <v>600582.530484761</v>
      </c>
      <c r="AJ17" s="8" t="n">
        <f aca="false">AJ13*Assumptions!$B$13</f>
        <v>638978.696342389</v>
      </c>
      <c r="AK17" s="8" t="n">
        <f aca="false">AK13*Assumptions!$B$13</f>
        <v>678466.186477453</v>
      </c>
      <c r="AL17" s="8" t="n">
        <f aca="false">AL13*Assumptions!$B$13</f>
        <v>719038.247439226</v>
      </c>
    </row>
    <row r="18" customFormat="false" ht="15" hidden="false" customHeight="false" outlineLevel="0" collapsed="false">
      <c r="A18" s="6" t="s">
        <v>130</v>
      </c>
      <c r="C18" s="8" t="n">
        <f aca="false">C10*Assumptions!$B$14*Assumptions!$B$15</f>
        <v>5000</v>
      </c>
      <c r="D18" s="8" t="n">
        <f aca="false">D10*Assumptions!$B$14*Assumptions!$B$15</f>
        <v>5750</v>
      </c>
      <c r="E18" s="8" t="n">
        <f aca="false">E10*Assumptions!$B$14*Assumptions!$B$15</f>
        <v>6612.5</v>
      </c>
      <c r="F18" s="8" t="n">
        <f aca="false">F10*Assumptions!$B$14*Assumptions!$B$15</f>
        <v>7604.375</v>
      </c>
      <c r="G18" s="8" t="n">
        <f aca="false">G10*Assumptions!$B$14*Assumptions!$B$15</f>
        <v>8745.03125</v>
      </c>
      <c r="H18" s="8" t="n">
        <f aca="false">H10*Assumptions!$B$14*Assumptions!$B$15</f>
        <v>10056.7859375</v>
      </c>
      <c r="I18" s="8" t="n">
        <f aca="false">I10*Assumptions!$B$14*Assumptions!$B$15</f>
        <v>12565.303828125</v>
      </c>
      <c r="J18" s="8" t="n">
        <f aca="false">J10*Assumptions!$B$14*Assumptions!$B$15</f>
        <v>15300.0994023437</v>
      </c>
      <c r="K18" s="8" t="n">
        <f aca="false">K10*Assumptions!$B$14*Assumptions!$B$15</f>
        <v>18295.1143126953</v>
      </c>
      <c r="L18" s="8" t="n">
        <f aca="false">L10*Assumptions!$B$14*Assumptions!$B$15</f>
        <v>21589.3814595996</v>
      </c>
      <c r="M18" s="8" t="n">
        <f aca="false">M10*Assumptions!$B$14*Assumptions!$B$15</f>
        <v>25227.7886785395</v>
      </c>
      <c r="N18" s="8" t="n">
        <f aca="false">N10*Assumptions!$B$14*Assumptions!$B$15</f>
        <v>29261.9569803205</v>
      </c>
      <c r="O18" s="8" t="n">
        <f aca="false">O10*Assumptions!$B$14*Assumptions!$B$15</f>
        <v>32657.6743991397</v>
      </c>
      <c r="P18" s="8" t="n">
        <f aca="false">P10*Assumptions!$B$14*Assumptions!$B$15</f>
        <v>36137.1348630881</v>
      </c>
      <c r="Q18" s="8" t="n">
        <f aca="false">Q10*Assumptions!$B$14*Assumptions!$B$15</f>
        <v>39705.3629548734</v>
      </c>
      <c r="R18" s="8" t="n">
        <f aca="false">R10*Assumptions!$B$14*Assumptions!$B$15</f>
        <v>43367.6847321658</v>
      </c>
      <c r="S18" s="8" t="n">
        <f aca="false">S10*Assumptions!$B$14*Assumptions!$B$15</f>
        <v>47129.7458160957</v>
      </c>
      <c r="T18" s="8" t="n">
        <f aca="false">T10*Assumptions!$B$14*Assumptions!$B$15</f>
        <v>50997.5305650615</v>
      </c>
      <c r="U18" s="8" t="n">
        <f aca="false">U10*Assumptions!$B$14*Assumptions!$B$15</f>
        <v>54977.3823989652</v>
      </c>
      <c r="V18" s="8" t="n">
        <f aca="false">V10*Assumptions!$B$14*Assumptions!$B$15</f>
        <v>59076.0253429031</v>
      </c>
      <c r="W18" s="8" t="n">
        <f aca="false">W10*Assumptions!$B$14*Assumptions!$B$15</f>
        <v>63300.5868634773</v>
      </c>
      <c r="X18" s="8" t="n">
        <f aca="false">X10*Assumptions!$B$14*Assumptions!$B$15</f>
        <v>67658.6220752859</v>
      </c>
      <c r="Y18" s="8" t="n">
        <f aca="false">Y10*Assumptions!$B$14*Assumptions!$B$15</f>
        <v>72158.1393998031</v>
      </c>
      <c r="Z18" s="8" t="n">
        <f aca="false">Z10*Assumptions!$B$14*Assumptions!$B$15</f>
        <v>76807.6277637912</v>
      </c>
      <c r="AA18" s="8" t="n">
        <f aca="false">AA10*Assumptions!$B$14*Assumptions!$B$15</f>
        <v>81211.856596705</v>
      </c>
      <c r="AB18" s="8" t="n">
        <f aca="false">AB10*Assumptions!$B$14*Assumptions!$B$15</f>
        <v>85658.2122946061</v>
      </c>
      <c r="AC18" s="8" t="n">
        <f aca="false">AC10*Assumptions!$B$14*Assumptions!$B$15</f>
        <v>90147.9586634443</v>
      </c>
      <c r="AD18" s="8" t="n">
        <f aca="false">AD10*Assumptions!$B$14*Assumptions!$B$15</f>
        <v>94682.3974233476</v>
      </c>
      <c r="AE18" s="8" t="n">
        <f aca="false">AE10*Assumptions!$B$14*Assumptions!$B$15</f>
        <v>99262.8693460481</v>
      </c>
      <c r="AF18" s="8" t="n">
        <f aca="false">AF10*Assumptions!$B$14*Assumptions!$B$15</f>
        <v>103890.75542643</v>
      </c>
      <c r="AG18" s="8" t="n">
        <f aca="false">AG10*Assumptions!$B$14*Assumptions!$B$15</f>
        <v>108567.478089222</v>
      </c>
      <c r="AH18" s="8" t="n">
        <f aca="false">AH10*Assumptions!$B$14*Assumptions!$B$15</f>
        <v>113294.502431899</v>
      </c>
      <c r="AI18" s="8" t="n">
        <f aca="false">AI10*Assumptions!$B$14*Assumptions!$B$15</f>
        <v>118073.337504856</v>
      </c>
      <c r="AJ18" s="8" t="n">
        <f aca="false">AJ10*Assumptions!$B$14*Assumptions!$B$15</f>
        <v>122905.537630002</v>
      </c>
      <c r="AK18" s="8" t="n">
        <f aca="false">AK10*Assumptions!$B$14*Assumptions!$B$15</f>
        <v>127792.703758902</v>
      </c>
      <c r="AL18" s="8" t="n">
        <f aca="false">AL10*Assumptions!$B$14*Assumptions!$B$15</f>
        <v>132736.484871669</v>
      </c>
    </row>
    <row r="19" customFormat="false" ht="15" hidden="false" customHeight="false" outlineLevel="0" collapsed="false">
      <c r="A19" s="6" t="s">
        <v>131</v>
      </c>
      <c r="C19" s="8" t="n">
        <f aca="false">-C12*Assumptions!$B$13*Assumptions!$B$29</f>
        <v>-0</v>
      </c>
      <c r="D19" s="8" t="n">
        <f aca="false">-D12*Assumptions!$B$13*Assumptions!$B$29</f>
        <v>-0</v>
      </c>
      <c r="E19" s="8" t="n">
        <f aca="false">-E12*Assumptions!$B$13*Assumptions!$B$29</f>
        <v>-0</v>
      </c>
      <c r="F19" s="8" t="n">
        <f aca="false">-F12*Assumptions!$B$13*Assumptions!$B$29</f>
        <v>-0</v>
      </c>
      <c r="G19" s="8" t="n">
        <f aca="false">-G12*Assumptions!$B$13*Assumptions!$B$29</f>
        <v>-0</v>
      </c>
      <c r="H19" s="8" t="n">
        <f aca="false">-H12*Assumptions!$B$13*Assumptions!$B$29</f>
        <v>-0</v>
      </c>
      <c r="I19" s="8" t="n">
        <f aca="false">-I12*Assumptions!$B$13*Assumptions!$B$29</f>
        <v>-91.8</v>
      </c>
      <c r="J19" s="8" t="n">
        <f aca="false">-J12*Assumptions!$B$13*Assumptions!$B$29</f>
        <v>-272.646</v>
      </c>
      <c r="K19" s="8" t="n">
        <f aca="false">-K12*Assumptions!$B$13*Assumptions!$B$29</f>
        <v>-539.86662</v>
      </c>
      <c r="L19" s="8" t="n">
        <f aca="false">-L12*Assumptions!$B$13*Assumptions!$B$29</f>
        <v>-890.8706214</v>
      </c>
      <c r="M19" s="8" t="n">
        <f aca="false">-M12*Assumptions!$B$13*Assumptions!$B$29</f>
        <v>-1323.144502758</v>
      </c>
      <c r="N19" s="8" t="n">
        <f aca="false">-N12*Assumptions!$B$13*Assumptions!$B$29</f>
        <v>-1834.25016767526</v>
      </c>
      <c r="O19" s="8" t="n">
        <f aca="false">-O12*Assumptions!$B$13*Assumptions!$B$29</f>
        <v>-2513.622662645</v>
      </c>
      <c r="P19" s="8" t="n">
        <f aca="false">-P12*Assumptions!$B$13*Assumptions!$B$29</f>
        <v>-3356.21398276565</v>
      </c>
      <c r="Q19" s="8" t="n">
        <f aca="false">-Q12*Assumptions!$B$13*Assumptions!$B$29</f>
        <v>-4357.12756328268</v>
      </c>
      <c r="R19" s="8" t="n">
        <f aca="false">-R12*Assumptions!$B$13*Assumptions!$B$29</f>
        <v>-5511.6137363842</v>
      </c>
      <c r="S19" s="8" t="n">
        <f aca="false">-S12*Assumptions!$B$13*Assumptions!$B$29</f>
        <v>-6815.06532429268</v>
      </c>
      <c r="T19" s="8" t="n">
        <f aca="false">-T12*Assumptions!$B$13*Assumptions!$B$29</f>
        <v>-8263.0133645639</v>
      </c>
      <c r="U19" s="8" t="n">
        <f aca="false">-U12*Assumptions!$B$13*Assumptions!$B$29</f>
        <v>-9851.12296362698</v>
      </c>
      <c r="V19" s="8" t="n">
        <f aca="false">-V12*Assumptions!$B$13*Assumptions!$B$29</f>
        <v>-11575.1892747182</v>
      </c>
      <c r="W19" s="8" t="n">
        <f aca="false">-W12*Assumptions!$B$13*Assumptions!$B$29</f>
        <v>-13431.1335964766</v>
      </c>
      <c r="X19" s="8" t="n">
        <f aca="false">-X12*Assumptions!$B$13*Assumptions!$B$29</f>
        <v>-15414.9995885823</v>
      </c>
      <c r="Y19" s="8" t="n">
        <f aca="false">-Y12*Assumptions!$B$13*Assumptions!$B$29</f>
        <v>-17522.9496009249</v>
      </c>
      <c r="Z19" s="8" t="n">
        <f aca="false">-Z12*Assumptions!$B$13*Assumptions!$B$29</f>
        <v>-19751.2611128971</v>
      </c>
      <c r="AA19" s="8" t="n">
        <f aca="false">-AA12*Assumptions!$B$13*Assumptions!$B$29</f>
        <v>-22188.1232795102</v>
      </c>
      <c r="AB19" s="8" t="n">
        <f aca="false">-AB12*Assumptions!$B$13*Assumptions!$B$29</f>
        <v>-24827.2795811249</v>
      </c>
      <c r="AC19" s="8" t="n">
        <f aca="false">-AC12*Assumptions!$B$13*Assumptions!$B$29</f>
        <v>-27662.6611936911</v>
      </c>
      <c r="AD19" s="8" t="n">
        <f aca="false">-AD12*Assumptions!$B$13*Assumptions!$B$29</f>
        <v>-30688.3813578804</v>
      </c>
      <c r="AE19" s="8" t="n">
        <f aca="false">-AE12*Assumptions!$B$13*Assumptions!$B$29</f>
        <v>-33898.729917144</v>
      </c>
      <c r="AF19" s="8" t="n">
        <f aca="false">-AF12*Assumptions!$B$13*Assumptions!$B$29</f>
        <v>-37288.1680196297</v>
      </c>
      <c r="AG19" s="8" t="n">
        <f aca="false">-AG12*Assumptions!$B$13*Assumptions!$B$29</f>
        <v>-40851.3229790408</v>
      </c>
      <c r="AH19" s="8" t="n">
        <f aca="false">-AH12*Assumptions!$B$13*Assumptions!$B$29</f>
        <v>-44582.9832896696</v>
      </c>
      <c r="AI19" s="8" t="n">
        <f aca="false">-AI12*Assumptions!$B$13*Assumptions!$B$29</f>
        <v>-48478.0937909795</v>
      </c>
      <c r="AJ19" s="8" t="n">
        <f aca="false">-AJ12*Assumptions!$B$13*Assumptions!$B$29</f>
        <v>-52531.7509772501</v>
      </c>
      <c r="AK19" s="8" t="n">
        <f aca="false">-AK12*Assumptions!$B$13*Assumptions!$B$29</f>
        <v>-56739.1984479326</v>
      </c>
      <c r="AL19" s="8" t="n">
        <f aca="false">-AL12*Assumptions!$B$13*Assumptions!$B$29</f>
        <v>-61095.8224944946</v>
      </c>
    </row>
    <row r="20" customFormat="false" ht="15" hidden="false" customHeight="false" outlineLevel="0" collapsed="false">
      <c r="A20" s="32" t="s">
        <v>11</v>
      </c>
      <c r="C20" s="34" t="n">
        <f aca="false">C17+C18+C19</f>
        <v>7295</v>
      </c>
      <c r="D20" s="34" t="n">
        <f aca="false">D17+D18+D19</f>
        <v>10615.4</v>
      </c>
      <c r="E20" s="34" t="n">
        <f aca="false">E17+E18+E19</f>
        <v>14367.0755</v>
      </c>
      <c r="F20" s="34" t="n">
        <f aca="false">F17+F18+F19</f>
        <v>18616.72136</v>
      </c>
      <c r="G20" s="34" t="n">
        <f aca="false">G17+G18+G19</f>
        <v>23440.97656295</v>
      </c>
      <c r="H20" s="34" t="n">
        <f aca="false">H17+H18+H19</f>
        <v>28927.917636374</v>
      </c>
      <c r="I20" s="34" t="n">
        <f aca="false">I17+I18+I19</f>
        <v>36545.9760331421</v>
      </c>
      <c r="J20" s="34" t="n">
        <f aca="false">J17+J18+J19</f>
        <v>45400.4970668862</v>
      </c>
      <c r="K20" s="34" t="n">
        <f aca="false">K17+K18+K19</f>
        <v>55614.5575168286</v>
      </c>
      <c r="L20" s="34" t="n">
        <f aca="false">L17+L18+L19</f>
        <v>67331.5674575651</v>
      </c>
      <c r="M20" s="34" t="n">
        <f aca="false">M17+M18+M19</f>
        <v>80718.2641000157</v>
      </c>
      <c r="N20" s="34" t="n">
        <f aca="false">N17+N18+N19</f>
        <v>95968.1563931195</v>
      </c>
      <c r="O20" s="34" t="n">
        <f aca="false">O17+O18+O19</f>
        <v>111618.16037876</v>
      </c>
      <c r="P20" s="34" t="n">
        <f aca="false">P17+P18+P19</f>
        <v>128397.751165477</v>
      </c>
      <c r="Q20" s="34" t="n">
        <f aca="false">Q17+Q18+Q19</f>
        <v>146321.322364478</v>
      </c>
      <c r="R20" s="34" t="n">
        <f aca="false">R17+R18+R19</f>
        <v>165405.732651546</v>
      </c>
      <c r="S20" s="34" t="n">
        <f aca="false">S17+S18+S19</f>
        <v>185670.405627482</v>
      </c>
      <c r="T20" s="34" t="n">
        <f aca="false">T17+T18+T19</f>
        <v>207137.43711147</v>
      </c>
      <c r="U20" s="34" t="n">
        <f aca="false">U17+U18+U19</f>
        <v>229831.710270106</v>
      </c>
      <c r="V20" s="34" t="n">
        <f aca="false">V17+V18+V19</f>
        <v>253781.019010302</v>
      </c>
      <c r="W20" s="34" t="n">
        <f aca="false">W17+W18+W19</f>
        <v>279016.200091191</v>
      </c>
      <c r="X20" s="34" t="n">
        <f aca="false">X17+X18+X19</f>
        <v>305571.274438724</v>
      </c>
      <c r="Y20" s="34" t="n">
        <f aca="false">Y17+Y18+Y19</f>
        <v>333483.598176848</v>
      </c>
      <c r="Z20" s="34" t="n">
        <f aca="false">Z17+Z18+Z19</f>
        <v>362794.023921105</v>
      </c>
      <c r="AA20" s="34" t="n">
        <f aca="false">AA17+AA18+AA19</f>
        <v>392865.503047187</v>
      </c>
      <c r="AB20" s="34" t="n">
        <f aca="false">AB17+AB18+AB19</f>
        <v>423974.568794797</v>
      </c>
      <c r="AC20" s="34" t="n">
        <f aca="false">AC17+AC18+AC19</f>
        <v>456112.537495151</v>
      </c>
      <c r="AD20" s="34" t="n">
        <f aca="false">AD17+AD18+AD19</f>
        <v>489271.65930742</v>
      </c>
      <c r="AE20" s="34" t="n">
        <f aca="false">AE17+AE18+AE19</f>
        <v>523445.110403434</v>
      </c>
      <c r="AF20" s="34" t="n">
        <f aca="false">AF17+AF18+AF19</f>
        <v>558626.985992825</v>
      </c>
      <c r="AG20" s="34" t="n">
        <f aca="false">AG17+AG18+AG19</f>
        <v>594812.294181579</v>
      </c>
      <c r="AH20" s="34" t="n">
        <f aca="false">AH17+AH18+AH19</f>
        <v>631996.950657727</v>
      </c>
      <c r="AI20" s="34" t="n">
        <f aca="false">AI17+AI18+AI19</f>
        <v>670177.774198638</v>
      </c>
      <c r="AJ20" s="34" t="n">
        <f aca="false">AJ17+AJ18+AJ19</f>
        <v>709352.482995141</v>
      </c>
      <c r="AK20" s="34" t="n">
        <f aca="false">AK17+AK18+AK19</f>
        <v>749519.691788422</v>
      </c>
      <c r="AL20" s="34" t="n">
        <f aca="false">AL17+AL18+AL19</f>
        <v>790678.9098164</v>
      </c>
    </row>
    <row r="22" customFormat="false" ht="15" hidden="false" customHeight="false" outlineLevel="0" collapsed="false">
      <c r="A22" s="11" t="s">
        <v>79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</row>
    <row r="23" customFormat="false" ht="15" hidden="false" customHeight="false" outlineLevel="0" collapsed="false">
      <c r="A23" s="6" t="s">
        <v>132</v>
      </c>
      <c r="C23" s="8" t="n">
        <f aca="false">C13*Assumptions!$B$33</f>
        <v>100</v>
      </c>
      <c r="D23" s="8" t="n">
        <f aca="false">D13*Assumptions!$B$33</f>
        <v>212</v>
      </c>
      <c r="E23" s="8" t="n">
        <f aca="false">E13*Assumptions!$B$33</f>
        <v>337.89</v>
      </c>
      <c r="F23" s="8" t="n">
        <f aca="false">F13*Assumptions!$B$33</f>
        <v>479.8408</v>
      </c>
      <c r="G23" s="8" t="n">
        <f aca="false">G13*Assumptions!$B$33</f>
        <v>640.346201</v>
      </c>
      <c r="H23" s="8" t="n">
        <f aca="false">H13*Assumptions!$B$33</f>
        <v>822.27153372</v>
      </c>
      <c r="I23" s="8" t="n">
        <f aca="false">I13*Assumptions!$B$33</f>
        <v>1048.9094642709</v>
      </c>
      <c r="J23" s="8" t="n">
        <f aca="false">J13*Assumptions!$B$33</f>
        <v>1323.44416838965</v>
      </c>
      <c r="K23" s="8" t="n">
        <f aca="false">K13*Assumptions!$B$33</f>
        <v>1649.64312959186</v>
      </c>
      <c r="L23" s="8" t="n">
        <f aca="false">L13*Assumptions!$B$33</f>
        <v>2031.9414648961</v>
      </c>
      <c r="M23" s="8" t="n">
        <f aca="false">M13*Assumptions!$B$33</f>
        <v>2475.53899452001</v>
      </c>
      <c r="N23" s="8" t="n">
        <f aca="false">N13*Assumptions!$B$33</f>
        <v>2986.51196429082</v>
      </c>
      <c r="O23" s="8" t="n">
        <f aca="false">O13*Assumptions!$B$33</f>
        <v>3550.07009334489</v>
      </c>
      <c r="P23" s="8" t="n">
        <f aca="false">P13*Assumptions!$B$33</f>
        <v>4166.3106878063</v>
      </c>
      <c r="Q23" s="8" t="n">
        <f aca="false">Q13*Assumptions!$B$33</f>
        <v>4835.42862626958</v>
      </c>
      <c r="R23" s="8" t="n">
        <f aca="false">R13*Assumptions!$B$33</f>
        <v>5557.71946212481</v>
      </c>
      <c r="S23" s="8" t="n">
        <f aca="false">S13*Assumptions!$B$33</f>
        <v>6333.58279458298</v>
      </c>
      <c r="T23" s="8" t="n">
        <f aca="false">T13*Assumptions!$B$33</f>
        <v>7163.52592204672</v>
      </c>
      <c r="U23" s="8" t="n">
        <f aca="false">U13*Assumptions!$B$33</f>
        <v>8048.16779236462</v>
      </c>
      <c r="V23" s="8" t="n">
        <f aca="false">V13*Assumptions!$B$33</f>
        <v>8988.24326545174</v>
      </c>
      <c r="W23" s="8" t="n">
        <f aca="false">W13*Assumptions!$B$33</f>
        <v>9984.60770475774</v>
      </c>
      <c r="X23" s="8" t="n">
        <f aca="false">X13*Assumptions!$B$33</f>
        <v>11038.2419151207</v>
      </c>
      <c r="Y23" s="8" t="n">
        <f aca="false">Y13*Assumptions!$B$33</f>
        <v>12150.2574456632</v>
      </c>
      <c r="Z23" s="8" t="n">
        <f aca="false">Z13*Assumptions!$B$33</f>
        <v>13321.9022775691</v>
      </c>
      <c r="AA23" s="8" t="n">
        <f aca="false">AA13*Assumptions!$B$33</f>
        <v>14546.4823411761</v>
      </c>
      <c r="AB23" s="8" t="n">
        <f aca="false">AB13*Assumptions!$B$33</f>
        <v>15823.252116833</v>
      </c>
      <c r="AC23" s="8" t="n">
        <f aca="false">AC13*Assumptions!$B$33</f>
        <v>17151.5137265969</v>
      </c>
      <c r="AD23" s="8" t="n">
        <f aca="false">AD13*Assumptions!$B$33</f>
        <v>18530.6162632659</v>
      </c>
      <c r="AE23" s="8" t="n">
        <f aca="false">AE13*Assumptions!$B$33</f>
        <v>19959.9551622889</v>
      </c>
      <c r="AF23" s="8" t="n">
        <f aca="false">AF13*Assumptions!$B$33</f>
        <v>21438.9716159488</v>
      </c>
      <c r="AG23" s="8" t="n">
        <f aca="false">AG13*Assumptions!$B$33</f>
        <v>22967.1520292548</v>
      </c>
      <c r="AH23" s="8" t="n">
        <f aca="false">AH13*Assumptions!$B$33</f>
        <v>24544.0275170151</v>
      </c>
      <c r="AI23" s="8" t="n">
        <f aca="false">AI13*Assumptions!$B$33</f>
        <v>26169.1734416018</v>
      </c>
      <c r="AJ23" s="8" t="n">
        <f aca="false">AJ13*Assumptions!$B$33</f>
        <v>27842.2089909538</v>
      </c>
      <c r="AK23" s="8" t="n">
        <f aca="false">AK13*Assumptions!$B$33</f>
        <v>29562.7967964032</v>
      </c>
      <c r="AL23" s="8" t="n">
        <f aca="false">AL13*Assumptions!$B$33</f>
        <v>31330.6425899445</v>
      </c>
    </row>
    <row r="24" customFormat="false" ht="15" hidden="false" customHeight="false" outlineLevel="0" collapsed="false">
      <c r="A24" s="6" t="s">
        <v>133</v>
      </c>
      <c r="C24" s="8" t="n">
        <f aca="false">C13*Assumptions!$B$34</f>
        <v>125</v>
      </c>
      <c r="D24" s="8" t="n">
        <f aca="false">D13*Assumptions!$B$34</f>
        <v>265</v>
      </c>
      <c r="E24" s="8" t="n">
        <f aca="false">E13*Assumptions!$B$34</f>
        <v>422.3625</v>
      </c>
      <c r="F24" s="8" t="n">
        <f aca="false">F13*Assumptions!$B$34</f>
        <v>599.801</v>
      </c>
      <c r="G24" s="8" t="n">
        <f aca="false">G13*Assumptions!$B$34</f>
        <v>800.43275125</v>
      </c>
      <c r="H24" s="8" t="n">
        <f aca="false">H13*Assumptions!$B$34</f>
        <v>1027.83941715</v>
      </c>
      <c r="I24" s="8" t="n">
        <f aca="false">I13*Assumptions!$B$34</f>
        <v>1311.13683033862</v>
      </c>
      <c r="J24" s="8" t="n">
        <f aca="false">J13*Assumptions!$B$34</f>
        <v>1654.30521048706</v>
      </c>
      <c r="K24" s="8" t="n">
        <f aca="false">K13*Assumptions!$B$34</f>
        <v>2062.05391198983</v>
      </c>
      <c r="L24" s="8" t="n">
        <f aca="false">L13*Assumptions!$B$34</f>
        <v>2539.92683112013</v>
      </c>
      <c r="M24" s="8" t="n">
        <f aca="false">M13*Assumptions!$B$34</f>
        <v>3094.42374315001</v>
      </c>
      <c r="N24" s="8" t="n">
        <f aca="false">N13*Assumptions!$B$34</f>
        <v>3733.13995536352</v>
      </c>
      <c r="O24" s="8" t="n">
        <f aca="false">O13*Assumptions!$B$34</f>
        <v>4437.58761668111</v>
      </c>
      <c r="P24" s="8" t="n">
        <f aca="false">P13*Assumptions!$B$34</f>
        <v>5207.88835975788</v>
      </c>
      <c r="Q24" s="8" t="n">
        <f aca="false">Q13*Assumptions!$B$34</f>
        <v>6044.28578283698</v>
      </c>
      <c r="R24" s="8" t="n">
        <f aca="false">R13*Assumptions!$B$34</f>
        <v>6947.14932765601</v>
      </c>
      <c r="S24" s="8" t="n">
        <f aca="false">S13*Assumptions!$B$34</f>
        <v>7916.97849322872</v>
      </c>
      <c r="T24" s="8" t="n">
        <f aca="false">T13*Assumptions!$B$34</f>
        <v>8954.4074025584</v>
      </c>
      <c r="U24" s="8" t="n">
        <f aca="false">U13*Assumptions!$B$34</f>
        <v>10060.2097404558</v>
      </c>
      <c r="V24" s="8" t="n">
        <f aca="false">V13*Assumptions!$B$34</f>
        <v>11235.3040818147</v>
      </c>
      <c r="W24" s="8" t="n">
        <f aca="false">W13*Assumptions!$B$34</f>
        <v>12480.7596309472</v>
      </c>
      <c r="X24" s="8" t="n">
        <f aca="false">X13*Assumptions!$B$34</f>
        <v>13797.8023939009</v>
      </c>
      <c r="Y24" s="8" t="n">
        <f aca="false">Y13*Assumptions!$B$34</f>
        <v>15187.8218070789</v>
      </c>
      <c r="Z24" s="8" t="n">
        <f aca="false">Z13*Assumptions!$B$34</f>
        <v>16652.3778469614</v>
      </c>
      <c r="AA24" s="8" t="n">
        <f aca="false">AA13*Assumptions!$B$34</f>
        <v>18183.1029264701</v>
      </c>
      <c r="AB24" s="8" t="n">
        <f aca="false">AB13*Assumptions!$B$34</f>
        <v>19779.0651460412</v>
      </c>
      <c r="AC24" s="8" t="n">
        <f aca="false">AC13*Assumptions!$B$34</f>
        <v>21439.3921582461</v>
      </c>
      <c r="AD24" s="8" t="n">
        <f aca="false">AD13*Assumptions!$B$34</f>
        <v>23163.2703290824</v>
      </c>
      <c r="AE24" s="8" t="n">
        <f aca="false">AE13*Assumptions!$B$34</f>
        <v>24949.9439528611</v>
      </c>
      <c r="AF24" s="8" t="n">
        <f aca="false">AF13*Assumptions!$B$34</f>
        <v>26798.714519936</v>
      </c>
      <c r="AG24" s="8" t="n">
        <f aca="false">AG13*Assumptions!$B$34</f>
        <v>28708.9400365685</v>
      </c>
      <c r="AH24" s="8" t="n">
        <f aca="false">AH13*Assumptions!$B$34</f>
        <v>30680.0343962689</v>
      </c>
      <c r="AI24" s="8" t="n">
        <f aca="false">AI13*Assumptions!$B$34</f>
        <v>32711.4668020022</v>
      </c>
      <c r="AJ24" s="8" t="n">
        <f aca="false">AJ13*Assumptions!$B$34</f>
        <v>34802.7612386922</v>
      </c>
      <c r="AK24" s="8" t="n">
        <f aca="false">AK13*Assumptions!$B$34</f>
        <v>36953.495995504</v>
      </c>
      <c r="AL24" s="8" t="n">
        <f aca="false">AL13*Assumptions!$B$34</f>
        <v>39163.3032374306</v>
      </c>
    </row>
    <row r="25" customFormat="false" ht="15" hidden="false" customHeight="false" outlineLevel="0" collapsed="false">
      <c r="A25" s="6" t="s">
        <v>134</v>
      </c>
      <c r="C25" s="8" t="n">
        <f aca="false">C13*Assumptions!$B$35</f>
        <v>40</v>
      </c>
      <c r="D25" s="8" t="n">
        <f aca="false">D13*Assumptions!$B$35</f>
        <v>84.8</v>
      </c>
      <c r="E25" s="8" t="n">
        <f aca="false">E13*Assumptions!$B$35</f>
        <v>135.156</v>
      </c>
      <c r="F25" s="8" t="n">
        <f aca="false">F13*Assumptions!$B$35</f>
        <v>191.93632</v>
      </c>
      <c r="G25" s="8" t="n">
        <f aca="false">G13*Assumptions!$B$35</f>
        <v>256.1384804</v>
      </c>
      <c r="H25" s="8" t="n">
        <f aca="false">H13*Assumptions!$B$35</f>
        <v>328.908613488</v>
      </c>
      <c r="I25" s="8" t="n">
        <f aca="false">I13*Assumptions!$B$35</f>
        <v>419.56378570836</v>
      </c>
      <c r="J25" s="8" t="n">
        <f aca="false">J13*Assumptions!$B$35</f>
        <v>529.377667355859</v>
      </c>
      <c r="K25" s="8" t="n">
        <f aca="false">K13*Assumptions!$B$35</f>
        <v>659.857251836746</v>
      </c>
      <c r="L25" s="8" t="n">
        <f aca="false">L13*Assumptions!$B$35</f>
        <v>812.77658595844</v>
      </c>
      <c r="M25" s="8" t="n">
        <f aca="false">M13*Assumptions!$B$35</f>
        <v>990.215597808003</v>
      </c>
      <c r="N25" s="8" t="n">
        <f aca="false">N13*Assumptions!$B$35</f>
        <v>1194.60478571633</v>
      </c>
      <c r="O25" s="8" t="n">
        <f aca="false">O13*Assumptions!$B$35</f>
        <v>1420.02803733795</v>
      </c>
      <c r="P25" s="8" t="n">
        <f aca="false">P13*Assumptions!$B$35</f>
        <v>1666.52427512252</v>
      </c>
      <c r="Q25" s="8" t="n">
        <f aca="false">Q13*Assumptions!$B$35</f>
        <v>1934.17145050783</v>
      </c>
      <c r="R25" s="8" t="n">
        <f aca="false">R13*Assumptions!$B$35</f>
        <v>2223.08778484992</v>
      </c>
      <c r="S25" s="8" t="n">
        <f aca="false">S13*Assumptions!$B$35</f>
        <v>2533.43311783319</v>
      </c>
      <c r="T25" s="8" t="n">
        <f aca="false">T13*Assumptions!$B$35</f>
        <v>2865.41036881869</v>
      </c>
      <c r="U25" s="8" t="n">
        <f aca="false">U13*Assumptions!$B$35</f>
        <v>3219.26711694585</v>
      </c>
      <c r="V25" s="8" t="n">
        <f aca="false">V13*Assumptions!$B$35</f>
        <v>3595.2973061807</v>
      </c>
      <c r="W25" s="8" t="n">
        <f aca="false">W13*Assumptions!$B$35</f>
        <v>3993.84308190309</v>
      </c>
      <c r="X25" s="8" t="n">
        <f aca="false">X13*Assumptions!$B$35</f>
        <v>4415.29676604829</v>
      </c>
      <c r="Y25" s="8" t="n">
        <f aca="false">Y13*Assumptions!$B$35</f>
        <v>4860.10297826526</v>
      </c>
      <c r="Z25" s="8" t="n">
        <f aca="false">Z13*Assumptions!$B$35</f>
        <v>5328.76091102764</v>
      </c>
      <c r="AA25" s="8" t="n">
        <f aca="false">AA13*Assumptions!$B$35</f>
        <v>5818.59293647045</v>
      </c>
      <c r="AB25" s="8" t="n">
        <f aca="false">AB13*Assumptions!$B$35</f>
        <v>6329.30084673318</v>
      </c>
      <c r="AC25" s="8" t="n">
        <f aca="false">AC13*Assumptions!$B$35</f>
        <v>6860.60549063874</v>
      </c>
      <c r="AD25" s="8" t="n">
        <f aca="false">AD13*Assumptions!$B$35</f>
        <v>7412.24650530636</v>
      </c>
      <c r="AE25" s="8" t="n">
        <f aca="false">AE13*Assumptions!$B$35</f>
        <v>7983.98206491555</v>
      </c>
      <c r="AF25" s="8" t="n">
        <f aca="false">AF13*Assumptions!$B$35</f>
        <v>8575.58864637952</v>
      </c>
      <c r="AG25" s="8" t="n">
        <f aca="false">AG13*Assumptions!$B$35</f>
        <v>9186.86081170191</v>
      </c>
      <c r="AH25" s="8" t="n">
        <f aca="false">AH13*Assumptions!$B$35</f>
        <v>9817.61100680605</v>
      </c>
      <c r="AI25" s="8" t="n">
        <f aca="false">AI13*Assumptions!$B$35</f>
        <v>10467.6693766407</v>
      </c>
      <c r="AJ25" s="8" t="n">
        <f aca="false">AJ13*Assumptions!$B$35</f>
        <v>11136.8835963815</v>
      </c>
      <c r="AK25" s="8" t="n">
        <f aca="false">AK13*Assumptions!$B$35</f>
        <v>11825.1187185613</v>
      </c>
      <c r="AL25" s="8" t="n">
        <f aca="false">AL13*Assumptions!$B$35</f>
        <v>12532.2570359778</v>
      </c>
    </row>
    <row r="26" customFormat="false" ht="15" hidden="false" customHeight="false" outlineLevel="0" collapsed="false">
      <c r="A26" s="6" t="s">
        <v>135</v>
      </c>
      <c r="C26" s="8" t="n">
        <f aca="false">C18*Assumptions!$B$36</f>
        <v>1750</v>
      </c>
      <c r="D26" s="8" t="n">
        <f aca="false">D18*Assumptions!$B$36</f>
        <v>2012.5</v>
      </c>
      <c r="E26" s="8" t="n">
        <f aca="false">E18*Assumptions!$B$36</f>
        <v>2314.375</v>
      </c>
      <c r="F26" s="8" t="n">
        <f aca="false">F18*Assumptions!$B$36</f>
        <v>2661.53125</v>
      </c>
      <c r="G26" s="8" t="n">
        <f aca="false">G18*Assumptions!$B$36</f>
        <v>3060.7609375</v>
      </c>
      <c r="H26" s="8" t="n">
        <f aca="false">H18*Assumptions!$B$36</f>
        <v>3519.875078125</v>
      </c>
      <c r="I26" s="8" t="n">
        <f aca="false">I18*Assumptions!$B$36</f>
        <v>4397.85633984375</v>
      </c>
      <c r="J26" s="8" t="n">
        <f aca="false">J18*Assumptions!$B$36</f>
        <v>5355.03479082031</v>
      </c>
      <c r="K26" s="8" t="n">
        <f aca="false">K18*Assumptions!$B$36</f>
        <v>6403.29000944336</v>
      </c>
      <c r="L26" s="8" t="n">
        <f aca="false">L18*Assumptions!$B$36</f>
        <v>7556.28351085986</v>
      </c>
      <c r="M26" s="8" t="n">
        <f aca="false">M18*Assumptions!$B$36</f>
        <v>8829.72603748884</v>
      </c>
      <c r="N26" s="8" t="n">
        <f aca="false">N18*Assumptions!$B$36</f>
        <v>10241.6849431122</v>
      </c>
      <c r="O26" s="8" t="n">
        <f aca="false">O18*Assumptions!$B$36</f>
        <v>11430.1860396989</v>
      </c>
      <c r="P26" s="8" t="n">
        <f aca="false">P18*Assumptions!$B$36</f>
        <v>12647.9972020808</v>
      </c>
      <c r="Q26" s="8" t="n">
        <f aca="false">Q18*Assumptions!$B$36</f>
        <v>13896.8770342057</v>
      </c>
      <c r="R26" s="8" t="n">
        <f aca="false">R18*Assumptions!$B$36</f>
        <v>15178.689656258</v>
      </c>
      <c r="S26" s="8" t="n">
        <f aca="false">S18*Assumptions!$B$36</f>
        <v>16495.4110356335</v>
      </c>
      <c r="T26" s="8" t="n">
        <f aca="false">T18*Assumptions!$B$36</f>
        <v>17849.1356977715</v>
      </c>
      <c r="U26" s="8" t="n">
        <f aca="false">U18*Assumptions!$B$36</f>
        <v>19242.0838396378</v>
      </c>
      <c r="V26" s="8" t="n">
        <f aca="false">V18*Assumptions!$B$36</f>
        <v>20676.6088700161</v>
      </c>
      <c r="W26" s="8" t="n">
        <f aca="false">W18*Assumptions!$B$36</f>
        <v>22155.205402217</v>
      </c>
      <c r="X26" s="8" t="n">
        <f aca="false">X18*Assumptions!$B$36</f>
        <v>23680.5177263501</v>
      </c>
      <c r="Y26" s="8" t="n">
        <f aca="false">Y18*Assumptions!$B$36</f>
        <v>25255.3487899311</v>
      </c>
      <c r="Z26" s="8" t="n">
        <f aca="false">Z18*Assumptions!$B$36</f>
        <v>26882.6697173269</v>
      </c>
      <c r="AA26" s="8" t="n">
        <f aca="false">AA18*Assumptions!$B$36</f>
        <v>28424.1498088467</v>
      </c>
      <c r="AB26" s="8" t="n">
        <f aca="false">AB18*Assumptions!$B$36</f>
        <v>29980.3743031121</v>
      </c>
      <c r="AC26" s="8" t="n">
        <f aca="false">AC18*Assumptions!$B$36</f>
        <v>31551.7855322055</v>
      </c>
      <c r="AD26" s="8" t="n">
        <f aca="false">AD18*Assumptions!$B$36</f>
        <v>33138.8390981717</v>
      </c>
      <c r="AE26" s="8" t="n">
        <f aca="false">AE18*Assumptions!$B$36</f>
        <v>34742.0042711168</v>
      </c>
      <c r="AF26" s="8" t="n">
        <f aca="false">AF18*Assumptions!$B$36</f>
        <v>36361.7643992503</v>
      </c>
      <c r="AG26" s="8" t="n">
        <f aca="false">AG18*Assumptions!$B$36</f>
        <v>37998.6173312278</v>
      </c>
      <c r="AH26" s="8" t="n">
        <f aca="false">AH18*Assumptions!$B$36</f>
        <v>39653.0758511647</v>
      </c>
      <c r="AI26" s="8" t="n">
        <f aca="false">AI18*Assumptions!$B$36</f>
        <v>41325.6681266996</v>
      </c>
      <c r="AJ26" s="8" t="n">
        <f aca="false">AJ18*Assumptions!$B$36</f>
        <v>43016.9381705006</v>
      </c>
      <c r="AK26" s="8" t="n">
        <f aca="false">AK18*Assumptions!$B$36</f>
        <v>44727.4463156156</v>
      </c>
      <c r="AL26" s="8" t="n">
        <f aca="false">AL18*Assumptions!$B$36</f>
        <v>46457.7697050841</v>
      </c>
    </row>
    <row r="27" customFormat="false" ht="15" hidden="false" customHeight="false" outlineLevel="0" collapsed="false">
      <c r="A27" s="6" t="s">
        <v>136</v>
      </c>
      <c r="C27" s="8" t="n">
        <f aca="false">C20*Assumptions!$B$37</f>
        <v>218.85</v>
      </c>
      <c r="D27" s="8" t="n">
        <f aca="false">D20*Assumptions!$B$37</f>
        <v>318.462</v>
      </c>
      <c r="E27" s="8" t="n">
        <f aca="false">E20*Assumptions!$B$37</f>
        <v>431.012265</v>
      </c>
      <c r="F27" s="8" t="n">
        <f aca="false">F20*Assumptions!$B$37</f>
        <v>558.5016408</v>
      </c>
      <c r="G27" s="8" t="n">
        <f aca="false">G20*Assumptions!$B$37</f>
        <v>703.2292968885</v>
      </c>
      <c r="H27" s="8" t="n">
        <f aca="false">H20*Assumptions!$B$37</f>
        <v>867.83752909122</v>
      </c>
      <c r="I27" s="8" t="n">
        <f aca="false">I20*Assumptions!$B$37</f>
        <v>1096.37928099426</v>
      </c>
      <c r="J27" s="8" t="n">
        <f aca="false">J20*Assumptions!$B$37</f>
        <v>1362.01491200658</v>
      </c>
      <c r="K27" s="8" t="n">
        <f aca="false">K20*Assumptions!$B$37</f>
        <v>1668.43672550486</v>
      </c>
      <c r="L27" s="8" t="n">
        <f aca="false">L20*Assumptions!$B$37</f>
        <v>2019.94702372695</v>
      </c>
      <c r="M27" s="8" t="n">
        <f aca="false">M20*Assumptions!$B$37</f>
        <v>2421.54792300047</v>
      </c>
      <c r="N27" s="8" t="n">
        <f aca="false">N20*Assumptions!$B$37</f>
        <v>2879.04469179358</v>
      </c>
      <c r="O27" s="8" t="n">
        <f aca="false">O20*Assumptions!$B$37</f>
        <v>3348.5448113628</v>
      </c>
      <c r="P27" s="8" t="n">
        <f aca="false">P20*Assumptions!$B$37</f>
        <v>3851.93253496431</v>
      </c>
      <c r="Q27" s="8" t="n">
        <f aca="false">Q20*Assumptions!$B$37</f>
        <v>4389.63967093433</v>
      </c>
      <c r="R27" s="8" t="n">
        <f aca="false">R20*Assumptions!$B$37</f>
        <v>4962.17197954638</v>
      </c>
      <c r="S27" s="8" t="n">
        <f aca="false">S20*Assumptions!$B$37</f>
        <v>5570.11216882447</v>
      </c>
      <c r="T27" s="8" t="n">
        <f aca="false">T20*Assumptions!$B$37</f>
        <v>6214.12311334409</v>
      </c>
      <c r="U27" s="8" t="n">
        <f aca="false">U20*Assumptions!$B$37</f>
        <v>6894.95130810319</v>
      </c>
      <c r="V27" s="8" t="n">
        <f aca="false">V20*Assumptions!$B$37</f>
        <v>7613.43057030907</v>
      </c>
      <c r="W27" s="8" t="n">
        <f aca="false">W20*Assumptions!$B$37</f>
        <v>8370.48600273572</v>
      </c>
      <c r="X27" s="8" t="n">
        <f aca="false">X20*Assumptions!$B$37</f>
        <v>9167.13823316172</v>
      </c>
      <c r="Y27" s="8" t="n">
        <f aca="false">Y20*Assumptions!$B$37</f>
        <v>10004.5079453054</v>
      </c>
      <c r="Z27" s="8" t="n">
        <f aca="false">Z20*Assumptions!$B$37</f>
        <v>10883.8207176331</v>
      </c>
      <c r="AA27" s="8" t="n">
        <f aca="false">AA20*Assumptions!$B$37</f>
        <v>11785.9650914156</v>
      </c>
      <c r="AB27" s="8" t="n">
        <f aca="false">AB20*Assumptions!$B$37</f>
        <v>12719.2370638439</v>
      </c>
      <c r="AC27" s="8" t="n">
        <f aca="false">AC20*Assumptions!$B$37</f>
        <v>13683.3761248545</v>
      </c>
      <c r="AD27" s="8" t="n">
        <f aca="false">AD20*Assumptions!$B$37</f>
        <v>14678.1497792226</v>
      </c>
      <c r="AE27" s="8" t="n">
        <f aca="false">AE20*Assumptions!$B$37</f>
        <v>15703.353312103</v>
      </c>
      <c r="AF27" s="8" t="n">
        <f aca="false">AF20*Assumptions!$B$37</f>
        <v>16758.8095797847</v>
      </c>
      <c r="AG27" s="8" t="n">
        <f aca="false">AG20*Assumptions!$B$37</f>
        <v>17844.3688254474</v>
      </c>
      <c r="AH27" s="8" t="n">
        <f aca="false">AH20*Assumptions!$B$37</f>
        <v>18959.9085197318</v>
      </c>
      <c r="AI27" s="8" t="n">
        <f aca="false">AI20*Assumptions!$B$37</f>
        <v>20105.3332259591</v>
      </c>
      <c r="AJ27" s="8" t="n">
        <f aca="false">AJ20*Assumptions!$B$37</f>
        <v>21280.5744898542</v>
      </c>
      <c r="AK27" s="8" t="n">
        <f aca="false">AK20*Assumptions!$B$37</f>
        <v>22485.5907536527</v>
      </c>
      <c r="AL27" s="8" t="n">
        <f aca="false">AL20*Assumptions!$B$37</f>
        <v>23720.367294492</v>
      </c>
    </row>
    <row r="28" customFormat="false" ht="15" hidden="false" customHeight="false" outlineLevel="0" collapsed="false">
      <c r="A28" s="32" t="s">
        <v>137</v>
      </c>
      <c r="C28" s="34" t="n">
        <f aca="false">SUM(C23:C27)</f>
        <v>2233.85</v>
      </c>
      <c r="D28" s="34" t="n">
        <f aca="false">SUM(D23:D27)</f>
        <v>2892.762</v>
      </c>
      <c r="E28" s="34" t="n">
        <f aca="false">SUM(E23:E27)</f>
        <v>3640.795765</v>
      </c>
      <c r="F28" s="34" t="n">
        <f aca="false">SUM(F23:F27)</f>
        <v>4491.6110108</v>
      </c>
      <c r="G28" s="34" t="n">
        <f aca="false">SUM(G23:G27)</f>
        <v>5460.9076670385</v>
      </c>
      <c r="H28" s="34" t="n">
        <f aca="false">SUM(H23:H27)</f>
        <v>6566.73217157422</v>
      </c>
      <c r="I28" s="34" t="n">
        <f aca="false">SUM(I23:I27)</f>
        <v>8273.8457011559</v>
      </c>
      <c r="J28" s="34" t="n">
        <f aca="false">SUM(J23:J27)</f>
        <v>10224.1767490595</v>
      </c>
      <c r="K28" s="34" t="n">
        <f aca="false">SUM(K23:K27)</f>
        <v>12443.2810283667</v>
      </c>
      <c r="L28" s="34" t="n">
        <f aca="false">SUM(L23:L27)</f>
        <v>14960.8754165615</v>
      </c>
      <c r="M28" s="34" t="n">
        <f aca="false">SUM(M23:M27)</f>
        <v>17811.4522959673</v>
      </c>
      <c r="N28" s="34" t="n">
        <f aca="false">SUM(N23:N27)</f>
        <v>21034.9863402764</v>
      </c>
      <c r="O28" s="34" t="n">
        <f aca="false">SUM(O23:O27)</f>
        <v>24186.4165984256</v>
      </c>
      <c r="P28" s="34" t="n">
        <f aca="false">SUM(P23:P27)</f>
        <v>27540.6530597318</v>
      </c>
      <c r="Q28" s="34" t="n">
        <f aca="false">SUM(Q23:Q27)</f>
        <v>31100.4025647544</v>
      </c>
      <c r="R28" s="34" t="n">
        <f aca="false">SUM(R23:R27)</f>
        <v>34868.8182104351</v>
      </c>
      <c r="S28" s="34" t="n">
        <f aca="false">SUM(S23:S27)</f>
        <v>38849.5176101029</v>
      </c>
      <c r="T28" s="34" t="n">
        <f aca="false">SUM(T23:T27)</f>
        <v>43046.6025045394</v>
      </c>
      <c r="U28" s="34" t="n">
        <f aca="false">SUM(U23:U27)</f>
        <v>47464.6797975072</v>
      </c>
      <c r="V28" s="34" t="n">
        <f aca="false">SUM(V23:V27)</f>
        <v>52108.8840937723</v>
      </c>
      <c r="W28" s="34" t="n">
        <f aca="false">SUM(W23:W27)</f>
        <v>56984.9018225608</v>
      </c>
      <c r="X28" s="34" t="n">
        <f aca="false">SUM(X23:X27)</f>
        <v>62098.9970345817</v>
      </c>
      <c r="Y28" s="34" t="n">
        <f aca="false">SUM(Y23:Y27)</f>
        <v>67458.0389662439</v>
      </c>
      <c r="Z28" s="34" t="n">
        <f aca="false">SUM(Z23:Z27)</f>
        <v>73069.5314705182</v>
      </c>
      <c r="AA28" s="34" t="n">
        <f aca="false">SUM(AA23:AA27)</f>
        <v>78758.293104379</v>
      </c>
      <c r="AB28" s="34" t="n">
        <f aca="false">SUM(AB23:AB27)</f>
        <v>84631.2294765634</v>
      </c>
      <c r="AC28" s="34" t="n">
        <f aca="false">SUM(AC23:AC27)</f>
        <v>90686.6730325417</v>
      </c>
      <c r="AD28" s="34" t="n">
        <f aca="false">SUM(AD23:AD27)</f>
        <v>96923.1219750489</v>
      </c>
      <c r="AE28" s="34" t="n">
        <f aca="false">SUM(AE23:AE27)</f>
        <v>103339.238763285</v>
      </c>
      <c r="AF28" s="34" t="n">
        <f aca="false">SUM(AF23:AF27)</f>
        <v>109933.848761299</v>
      </c>
      <c r="AG28" s="34" t="n">
        <f aca="false">SUM(AG23:AG27)</f>
        <v>116705.9390342</v>
      </c>
      <c r="AH28" s="34" t="n">
        <f aca="false">SUM(AH23:AH27)</f>
        <v>123654.657290987</v>
      </c>
      <c r="AI28" s="34" t="n">
        <f aca="false">SUM(AI23:AI27)</f>
        <v>130779.310972903</v>
      </c>
      <c r="AJ28" s="34" t="n">
        <f aca="false">SUM(AJ23:AJ27)</f>
        <v>138079.366486382</v>
      </c>
      <c r="AK28" s="34" t="n">
        <f aca="false">SUM(AK23:AK27)</f>
        <v>145554.448579737</v>
      </c>
      <c r="AL28" s="34" t="n">
        <f aca="false">SUM(AL23:AL27)</f>
        <v>153204.339862929</v>
      </c>
    </row>
    <row r="29" customFormat="false" ht="15" hidden="false" customHeight="false" outlineLevel="0" collapsed="false">
      <c r="A29" s="4" t="s">
        <v>12</v>
      </c>
      <c r="C29" s="9" t="n">
        <f aca="false">C20-C28</f>
        <v>5061.15</v>
      </c>
      <c r="D29" s="9" t="n">
        <f aca="false">D20-D28</f>
        <v>7722.638</v>
      </c>
      <c r="E29" s="9" t="n">
        <f aca="false">E20-E28</f>
        <v>10726.279735</v>
      </c>
      <c r="F29" s="9" t="n">
        <f aca="false">F20-F28</f>
        <v>14125.1103492</v>
      </c>
      <c r="G29" s="9" t="n">
        <f aca="false">G20-G28</f>
        <v>17980.0688959115</v>
      </c>
      <c r="H29" s="9" t="n">
        <f aca="false">H20-H28</f>
        <v>22361.1854647998</v>
      </c>
      <c r="I29" s="9" t="n">
        <f aca="false">I20-I28</f>
        <v>28272.1303319862</v>
      </c>
      <c r="J29" s="9" t="n">
        <f aca="false">J20-J28</f>
        <v>35176.3203178267</v>
      </c>
      <c r="K29" s="9" t="n">
        <f aca="false">K20-K28</f>
        <v>43171.2764884619</v>
      </c>
      <c r="L29" s="9" t="n">
        <f aca="false">L20-L28</f>
        <v>52370.6920410036</v>
      </c>
      <c r="M29" s="9" t="n">
        <f aca="false">M20-M28</f>
        <v>62906.8118040484</v>
      </c>
      <c r="N29" s="9" t="n">
        <f aca="false">N20-N28</f>
        <v>74933.1700528431</v>
      </c>
      <c r="O29" s="9" t="n">
        <f aca="false">O20-O28</f>
        <v>87431.7437803342</v>
      </c>
      <c r="P29" s="9" t="n">
        <f aca="false">P20-P28</f>
        <v>100857.098105745</v>
      </c>
      <c r="Q29" s="9" t="n">
        <f aca="false">Q20-Q28</f>
        <v>115220.919799723</v>
      </c>
      <c r="R29" s="9" t="n">
        <f aca="false">R20-R28</f>
        <v>130536.914441111</v>
      </c>
      <c r="S29" s="9" t="n">
        <f aca="false">S20-S28</f>
        <v>146820.88801738</v>
      </c>
      <c r="T29" s="9" t="n">
        <f aca="false">T20-T28</f>
        <v>164090.83460693</v>
      </c>
      <c r="U29" s="9" t="n">
        <f aca="false">U20-U28</f>
        <v>182367.030472599</v>
      </c>
      <c r="V29" s="9" t="n">
        <f aca="false">V20-V28</f>
        <v>201672.13491653</v>
      </c>
      <c r="W29" s="9" t="n">
        <f aca="false">W20-W28</f>
        <v>222031.29826863</v>
      </c>
      <c r="X29" s="9" t="n">
        <f aca="false">X20-X28</f>
        <v>243472.277404142</v>
      </c>
      <c r="Y29" s="9" t="n">
        <f aca="false">Y20-Y28</f>
        <v>266025.559210604</v>
      </c>
      <c r="Z29" s="9" t="n">
        <f aca="false">Z20-Z28</f>
        <v>289724.492450587</v>
      </c>
      <c r="AA29" s="9" t="n">
        <f aca="false">AA20-AA28</f>
        <v>314107.209942808</v>
      </c>
      <c r="AB29" s="9" t="n">
        <f aca="false">AB20-AB28</f>
        <v>339343.339318234</v>
      </c>
      <c r="AC29" s="9" t="n">
        <f aca="false">AC20-AC28</f>
        <v>365425.864462609</v>
      </c>
      <c r="AD29" s="9" t="n">
        <f aca="false">AD20-AD28</f>
        <v>392348.537332371</v>
      </c>
      <c r="AE29" s="9" t="n">
        <f aca="false">AE20-AE28</f>
        <v>420105.871640149</v>
      </c>
      <c r="AF29" s="9" t="n">
        <f aca="false">AF20-AF28</f>
        <v>448693.137231526</v>
      </c>
      <c r="AG29" s="9" t="n">
        <f aca="false">AG20-AG28</f>
        <v>478106.355147379</v>
      </c>
      <c r="AH29" s="9" t="n">
        <f aca="false">AH20-AH28</f>
        <v>508342.29336674</v>
      </c>
      <c r="AI29" s="9" t="n">
        <f aca="false">AI20-AI28</f>
        <v>539398.463225734</v>
      </c>
      <c r="AJ29" s="9" t="n">
        <f aca="false">AJ20-AJ28</f>
        <v>571273.116508758</v>
      </c>
      <c r="AK29" s="9" t="n">
        <f aca="false">AK20-AK28</f>
        <v>603965.243208686</v>
      </c>
      <c r="AL29" s="9" t="n">
        <f aca="false">AL20-AL28</f>
        <v>637474.569953471</v>
      </c>
    </row>
    <row r="30" customFormat="false" ht="15" hidden="false" customHeight="false" outlineLevel="0" collapsed="false">
      <c r="A30" s="6" t="s">
        <v>13</v>
      </c>
      <c r="C30" s="10" t="n">
        <f aca="false">IF(C20=0,0,C29/C20)</f>
        <v>0.693783413296779</v>
      </c>
      <c r="D30" s="10" t="n">
        <f aca="false">IF(D20=0,0,D29/D20)</f>
        <v>0.727493829719087</v>
      </c>
      <c r="E30" s="10" t="n">
        <f aca="false">IF(E20=0,0,E29/E20)</f>
        <v>0.746587552560714</v>
      </c>
      <c r="F30" s="10" t="n">
        <f aca="false">IF(F20=0,0,F29/F20)</f>
        <v>0.758732436074877</v>
      </c>
      <c r="G30" s="10" t="n">
        <f aca="false">IF(G20=0,0,G29/G20)</f>
        <v>0.767035829229495</v>
      </c>
      <c r="H30" s="10" t="n">
        <f aca="false">IF(H20=0,0,H29/H20)</f>
        <v>0.772996720534174</v>
      </c>
      <c r="I30" s="10" t="n">
        <f aca="false">IF(I20=0,0,I29/I20)</f>
        <v>0.773604467598494</v>
      </c>
      <c r="J30" s="10" t="n">
        <f aca="false">IF(J20=0,0,J29/J20)</f>
        <v>0.774800334586718</v>
      </c>
      <c r="K30" s="10" t="n">
        <f aca="false">IF(K20=0,0,K29/K20)</f>
        <v>0.776258562794437</v>
      </c>
      <c r="L30" s="10" t="n">
        <f aca="false">IF(L20=0,0,L29/L20)</f>
        <v>0.777802953629583</v>
      </c>
      <c r="M30" s="10" t="n">
        <f aca="false">IF(M20=0,0,M29/M20)</f>
        <v>0.779338016066628</v>
      </c>
      <c r="N30" s="10" t="n">
        <f aca="false">IF(N20=0,0,N29/N20)</f>
        <v>0.78081285365002</v>
      </c>
      <c r="O30" s="10" t="n">
        <f aca="false">IF(O20=0,0,O29/O20)</f>
        <v>0.783311098155062</v>
      </c>
      <c r="P30" s="10" t="n">
        <f aca="false">IF(P20=0,0,P29/P20)</f>
        <v>0.785505175832575</v>
      </c>
      <c r="Q30" s="10" t="n">
        <f aca="false">IF(Q20=0,0,Q29/Q20)</f>
        <v>0.787451329292356</v>
      </c>
      <c r="R30" s="10" t="n">
        <f aca="false">IF(R20=0,0,R29/R20)</f>
        <v>0.789192202401521</v>
      </c>
      <c r="S30" s="10" t="n">
        <f aca="false">IF(S20=0,0,S29/S20)</f>
        <v>0.790760851311716</v>
      </c>
      <c r="T30" s="10" t="n">
        <f aca="false">IF(T20=0,0,T29/T20)</f>
        <v>0.792183377834427</v>
      </c>
      <c r="U30" s="10" t="n">
        <f aca="false">IF(U20=0,0,U29/U20)</f>
        <v>0.793480717949124</v>
      </c>
      <c r="V30" s="10" t="n">
        <f aca="false">IF(V20=0,0,V29/V20)</f>
        <v>0.794669891794954</v>
      </c>
      <c r="W30" s="10" t="n">
        <f aca="false">IF(W20=0,0,W29/W20)</f>
        <v>0.79576489894158</v>
      </c>
      <c r="X30" s="10" t="n">
        <f aca="false">IF(X20=0,0,X29/X20)</f>
        <v>0.796777373303019</v>
      </c>
      <c r="Y30" s="10" t="n">
        <f aca="false">IF(Y20=0,0,Y29/Y20)</f>
        <v>0.797717071139221</v>
      </c>
      <c r="Z30" s="10" t="n">
        <f aca="false">IF(Z20=0,0,Z29/Z20)</f>
        <v>0.79859224063071</v>
      </c>
      <c r="AA30" s="10" t="n">
        <f aca="false">IF(AA20=0,0,AA29/AA20)</f>
        <v>0.799528610953354</v>
      </c>
      <c r="AB30" s="10" t="n">
        <f aca="false">IF(AB20=0,0,AB29/AB20)</f>
        <v>0.800386070992092</v>
      </c>
      <c r="AC30" s="10" t="n">
        <f aca="false">IF(AC20=0,0,AC29/AC20)</f>
        <v>0.801174785655819</v>
      </c>
      <c r="AD30" s="10" t="n">
        <f aca="false">IF(AD20=0,0,AD29/AD20)</f>
        <v>0.80190325735963</v>
      </c>
      <c r="AE30" s="10" t="n">
        <f aca="false">IF(AE20=0,0,AE29/AE20)</f>
        <v>0.802578653025073</v>
      </c>
      <c r="AF30" s="10" t="n">
        <f aca="false">IF(AF20=0,0,AF29/AF20)</f>
        <v>0.803207056734077</v>
      </c>
      <c r="AG30" s="10" t="n">
        <f aca="false">IF(AG20=0,0,AG29/AG20)</f>
        <v>0.803793667051251</v>
      </c>
      <c r="AH30" s="10" t="n">
        <f aca="false">IF(AH20=0,0,AH29/AH20)</f>
        <v>0.804342952664095</v>
      </c>
      <c r="AI30" s="10" t="n">
        <f aca="false">IF(AI20=0,0,AI29/AI20)</f>
        <v>0.804858776271293</v>
      </c>
      <c r="AJ30" s="10" t="n">
        <f aca="false">IF(AJ20=0,0,AJ29/AJ20)</f>
        <v>0.805344494032978</v>
      </c>
      <c r="AK30" s="10" t="n">
        <f aca="false">IF(AK20=0,0,AK29/AK20)</f>
        <v>0.805803036031741</v>
      </c>
      <c r="AL30" s="10" t="n">
        <f aca="false">IF(AL20=0,0,AL29/AL20)</f>
        <v>0.806236971846759</v>
      </c>
    </row>
    <row r="32" customFormat="false" ht="15" hidden="false" customHeight="false" outlineLevel="0" collapsed="false">
      <c r="A32" s="11" t="s">
        <v>14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</row>
    <row r="33" customFormat="false" ht="15" hidden="false" customHeight="false" outlineLevel="0" collapsed="false">
      <c r="A33" s="6" t="s">
        <v>138</v>
      </c>
      <c r="C33" s="8" t="n">
        <f aca="false">SUMPRODUCT(--(Assumptions!$C$51:$C$62&lt;=C$3),Assumptions!$B$51:$B$62)*(1+Assumptions!$B$40)</f>
        <v>24000</v>
      </c>
      <c r="D33" s="8" t="n">
        <f aca="false">SUMPRODUCT(--(Assumptions!$C$51:$C$62&lt;=D$3),Assumptions!$B$51:$B$62)*(1+Assumptions!$B$40)</f>
        <v>24000</v>
      </c>
      <c r="E33" s="8" t="n">
        <f aca="false">SUMPRODUCT(--(Assumptions!$C$51:$C$62&lt;=E$3),Assumptions!$B$51:$B$62)*(1+Assumptions!$B$40)</f>
        <v>24000</v>
      </c>
      <c r="F33" s="8" t="n">
        <f aca="false">SUMPRODUCT(--(Assumptions!$C$51:$C$62&lt;=F$3),Assumptions!$B$51:$B$62)*(1+Assumptions!$B$40)</f>
        <v>39600</v>
      </c>
      <c r="G33" s="8" t="n">
        <f aca="false">SUMPRODUCT(--(Assumptions!$C$51:$C$62&lt;=G$3),Assumptions!$B$51:$B$62)*(1+Assumptions!$B$40)</f>
        <v>39600</v>
      </c>
      <c r="H33" s="8" t="n">
        <f aca="false">SUMPRODUCT(--(Assumptions!$C$51:$C$62&lt;=H$3),Assumptions!$B$51:$B$62)*(1+Assumptions!$B$40)</f>
        <v>50400</v>
      </c>
      <c r="I33" s="8" t="n">
        <f aca="false">SUMPRODUCT(--(Assumptions!$C$51:$C$62&lt;=I$3),Assumptions!$B$51:$B$62)*(1+Assumptions!$B$40)</f>
        <v>50400</v>
      </c>
      <c r="J33" s="8" t="n">
        <f aca="false">SUMPRODUCT(--(Assumptions!$C$51:$C$62&lt;=J$3),Assumptions!$B$51:$B$62)*(1+Assumptions!$B$40)</f>
        <v>50400</v>
      </c>
      <c r="K33" s="8" t="n">
        <f aca="false">SUMPRODUCT(--(Assumptions!$C$51:$C$62&lt;=K$3),Assumptions!$B$51:$B$62)*(1+Assumptions!$B$40)</f>
        <v>62400</v>
      </c>
      <c r="L33" s="8" t="n">
        <f aca="false">SUMPRODUCT(--(Assumptions!$C$51:$C$62&lt;=L$3),Assumptions!$B$51:$B$62)*(1+Assumptions!$B$40)</f>
        <v>78000</v>
      </c>
      <c r="M33" s="8" t="n">
        <f aca="false">SUMPRODUCT(--(Assumptions!$C$51:$C$62&lt;=M$3),Assumptions!$B$51:$B$62)*(1+Assumptions!$B$40)</f>
        <v>78000</v>
      </c>
      <c r="N33" s="8" t="n">
        <f aca="false">SUMPRODUCT(--(Assumptions!$C$51:$C$62&lt;=N$3),Assumptions!$B$51:$B$62)*(1+Assumptions!$B$40)</f>
        <v>78000</v>
      </c>
      <c r="O33" s="8" t="n">
        <f aca="false">SUMPRODUCT(--(Assumptions!$C$51:$C$62&lt;=O$3),Assumptions!$B$51:$B$62)*(1+Assumptions!$B$40)</f>
        <v>88800</v>
      </c>
      <c r="P33" s="8" t="n">
        <f aca="false">SUMPRODUCT(--(Assumptions!$C$51:$C$62&lt;=P$3),Assumptions!$B$51:$B$62)*(1+Assumptions!$B$40)</f>
        <v>88800</v>
      </c>
      <c r="Q33" s="8" t="n">
        <f aca="false">SUMPRODUCT(--(Assumptions!$C$51:$C$62&lt;=Q$3),Assumptions!$B$51:$B$62)*(1+Assumptions!$B$40)</f>
        <v>88800</v>
      </c>
      <c r="R33" s="8" t="n">
        <f aca="false">SUMPRODUCT(--(Assumptions!$C$51:$C$62&lt;=R$3),Assumptions!$B$51:$B$62)*(1+Assumptions!$B$40)</f>
        <v>104400</v>
      </c>
      <c r="S33" s="8" t="n">
        <f aca="false">SUMPRODUCT(--(Assumptions!$C$51:$C$62&lt;=S$3),Assumptions!$B$51:$B$62)*(1+Assumptions!$B$40)</f>
        <v>104400</v>
      </c>
      <c r="T33" s="8" t="n">
        <f aca="false">SUMPRODUCT(--(Assumptions!$C$51:$C$62&lt;=T$3),Assumptions!$B$51:$B$62)*(1+Assumptions!$B$40)</f>
        <v>104400</v>
      </c>
      <c r="U33" s="8" t="n">
        <f aca="false">SUMPRODUCT(--(Assumptions!$C$51:$C$62&lt;=U$3),Assumptions!$B$51:$B$62)*(1+Assumptions!$B$40)</f>
        <v>104400</v>
      </c>
      <c r="V33" s="8" t="n">
        <f aca="false">SUMPRODUCT(--(Assumptions!$C$51:$C$62&lt;=V$3),Assumptions!$B$51:$B$62)*(1+Assumptions!$B$40)</f>
        <v>113400</v>
      </c>
      <c r="W33" s="8" t="n">
        <f aca="false">SUMPRODUCT(--(Assumptions!$C$51:$C$62&lt;=W$3),Assumptions!$B$51:$B$62)*(1+Assumptions!$B$40)</f>
        <v>113400</v>
      </c>
      <c r="X33" s="8" t="n">
        <f aca="false">SUMPRODUCT(--(Assumptions!$C$51:$C$62&lt;=X$3),Assumptions!$B$51:$B$62)*(1+Assumptions!$B$40)</f>
        <v>113400</v>
      </c>
      <c r="Y33" s="8" t="n">
        <f aca="false">SUMPRODUCT(--(Assumptions!$C$51:$C$62&lt;=Y$3),Assumptions!$B$51:$B$62)*(1+Assumptions!$B$40)</f>
        <v>113400</v>
      </c>
      <c r="Z33" s="8" t="n">
        <f aca="false">SUMPRODUCT(--(Assumptions!$C$51:$C$62&lt;=Z$3),Assumptions!$B$51:$B$62)*(1+Assumptions!$B$40)</f>
        <v>113400</v>
      </c>
      <c r="AA33" s="8" t="n">
        <f aca="false">SUMPRODUCT(--(Assumptions!$C$51:$C$62&lt;=AA$3),Assumptions!$B$51:$B$62)*(1+Assumptions!$B$40)</f>
        <v>129000</v>
      </c>
      <c r="AB33" s="8" t="n">
        <f aca="false">SUMPRODUCT(--(Assumptions!$C$51:$C$62&lt;=AB$3),Assumptions!$B$51:$B$62)*(1+Assumptions!$B$40)</f>
        <v>138000</v>
      </c>
      <c r="AC33" s="8" t="n">
        <f aca="false">SUMPRODUCT(--(Assumptions!$C$51:$C$62&lt;=AC$3),Assumptions!$B$51:$B$62)*(1+Assumptions!$B$40)</f>
        <v>138000</v>
      </c>
      <c r="AD33" s="8" t="n">
        <f aca="false">SUMPRODUCT(--(Assumptions!$C$51:$C$62&lt;=AD$3),Assumptions!$B$51:$B$62)*(1+Assumptions!$B$40)</f>
        <v>151200</v>
      </c>
      <c r="AE33" s="8" t="n">
        <f aca="false">SUMPRODUCT(--(Assumptions!$C$51:$C$62&lt;=AE$3),Assumptions!$B$51:$B$62)*(1+Assumptions!$B$40)</f>
        <v>151200</v>
      </c>
      <c r="AF33" s="8" t="n">
        <f aca="false">SUMPRODUCT(--(Assumptions!$C$51:$C$62&lt;=AF$3),Assumptions!$B$51:$B$62)*(1+Assumptions!$B$40)</f>
        <v>151200</v>
      </c>
      <c r="AG33" s="8" t="n">
        <f aca="false">SUMPRODUCT(--(Assumptions!$C$51:$C$62&lt;=AG$3),Assumptions!$B$51:$B$62)*(1+Assumptions!$B$40)</f>
        <v>151200</v>
      </c>
      <c r="AH33" s="8" t="n">
        <f aca="false">SUMPRODUCT(--(Assumptions!$C$51:$C$62&lt;=AH$3),Assumptions!$B$51:$B$62)*(1+Assumptions!$B$40)</f>
        <v>151200</v>
      </c>
      <c r="AI33" s="8" t="n">
        <f aca="false">SUMPRODUCT(--(Assumptions!$C$51:$C$62&lt;=AI$3),Assumptions!$B$51:$B$62)*(1+Assumptions!$B$40)</f>
        <v>151200</v>
      </c>
      <c r="AJ33" s="8" t="n">
        <f aca="false">SUMPRODUCT(--(Assumptions!$C$51:$C$62&lt;=AJ$3),Assumptions!$B$51:$B$62)*(1+Assumptions!$B$40)</f>
        <v>151200</v>
      </c>
      <c r="AK33" s="8" t="n">
        <f aca="false">SUMPRODUCT(--(Assumptions!$C$51:$C$62&lt;=AK$3),Assumptions!$B$51:$B$62)*(1+Assumptions!$B$40)</f>
        <v>151200</v>
      </c>
      <c r="AL33" s="8" t="n">
        <f aca="false">SUMPRODUCT(--(Assumptions!$C$51:$C$62&lt;=AL$3),Assumptions!$B$51:$B$62)*(1+Assumptions!$B$40)</f>
        <v>151200</v>
      </c>
    </row>
    <row r="34" customFormat="false" ht="15" hidden="false" customHeight="false" outlineLevel="0" collapsed="false">
      <c r="A34" s="6" t="s">
        <v>139</v>
      </c>
      <c r="C34" s="8" t="n">
        <f aca="false">C7*Assumptions!$B$22+Assumptions!$B$23</f>
        <v>9500</v>
      </c>
      <c r="D34" s="8" t="n">
        <f aca="false">D7*Assumptions!$B$22+Assumptions!$B$23</f>
        <v>10625</v>
      </c>
      <c r="E34" s="8" t="n">
        <f aca="false">E7*Assumptions!$B$22+Assumptions!$B$23</f>
        <v>11918.75</v>
      </c>
      <c r="F34" s="8" t="n">
        <f aca="false">F7*Assumptions!$B$22+Assumptions!$B$23</f>
        <v>13406.5625</v>
      </c>
      <c r="G34" s="8" t="n">
        <f aca="false">G7*Assumptions!$B$22+Assumptions!$B$23</f>
        <v>15117.546875</v>
      </c>
      <c r="H34" s="8" t="n">
        <f aca="false">H7*Assumptions!$B$22+Assumptions!$B$23</f>
        <v>17085.17890625</v>
      </c>
      <c r="I34" s="8" t="n">
        <f aca="false">I7*Assumptions!$B$22+Assumptions!$B$23</f>
        <v>19347.9557421875</v>
      </c>
      <c r="J34" s="8" t="n">
        <f aca="false">J7*Assumptions!$B$22+Assumptions!$B$23</f>
        <v>21950.1491035156</v>
      </c>
      <c r="K34" s="8" t="n">
        <f aca="false">K7*Assumptions!$B$22+Assumptions!$B$23</f>
        <v>24942.671469043</v>
      </c>
      <c r="L34" s="8" t="n">
        <f aca="false">L7*Assumptions!$B$22+Assumptions!$B$23</f>
        <v>28384.0721893994</v>
      </c>
      <c r="M34" s="8" t="n">
        <f aca="false">M7*Assumptions!$B$22+Assumptions!$B$23</f>
        <v>32341.6830178093</v>
      </c>
      <c r="N34" s="8" t="n">
        <f aca="false">N7*Assumptions!$B$22+Assumptions!$B$23</f>
        <v>36892.9354704807</v>
      </c>
      <c r="O34" s="8" t="n">
        <f aca="false">O7*Assumptions!$B$22+Assumptions!$B$23</f>
        <v>38986.5115987096</v>
      </c>
      <c r="P34" s="8" t="n">
        <f aca="false">P7*Assumptions!$B$22+Assumptions!$B$23</f>
        <v>41205.7022946321</v>
      </c>
      <c r="Q34" s="8" t="n">
        <f aca="false">Q7*Assumptions!$B$22+Assumptions!$B$23</f>
        <v>43558.0444323101</v>
      </c>
      <c r="R34" s="8" t="n">
        <f aca="false">R7*Assumptions!$B$22+Assumptions!$B$23</f>
        <v>46051.5270982487</v>
      </c>
      <c r="S34" s="8" t="n">
        <f aca="false">S7*Assumptions!$B$22+Assumptions!$B$23</f>
        <v>48694.6187241436</v>
      </c>
      <c r="T34" s="8" t="n">
        <f aca="false">T7*Assumptions!$B$22+Assumptions!$B$23</f>
        <v>51496.2958475922</v>
      </c>
      <c r="U34" s="8" t="n">
        <f aca="false">U7*Assumptions!$B$22+Assumptions!$B$23</f>
        <v>54466.0735984477</v>
      </c>
      <c r="V34" s="8" t="n">
        <f aca="false">V7*Assumptions!$B$22+Assumptions!$B$23</f>
        <v>57614.0380143546</v>
      </c>
      <c r="W34" s="8" t="n">
        <f aca="false">W7*Assumptions!$B$22+Assumptions!$B$23</f>
        <v>60950.8802952159</v>
      </c>
      <c r="X34" s="8" t="n">
        <f aca="false">X7*Assumptions!$B$22+Assumptions!$B$23</f>
        <v>64487.9331129288</v>
      </c>
      <c r="Y34" s="8" t="n">
        <f aca="false">Y7*Assumptions!$B$22+Assumptions!$B$23</f>
        <v>68237.2090997046</v>
      </c>
      <c r="Z34" s="8" t="n">
        <f aca="false">Z7*Assumptions!$B$22+Assumptions!$B$23</f>
        <v>72211.4416456868</v>
      </c>
      <c r="AA34" s="8" t="n">
        <f aca="false">AA7*Assumptions!$B$22+Assumptions!$B$23</f>
        <v>74317.7848950574</v>
      </c>
      <c r="AB34" s="8" t="n">
        <f aca="false">AB7*Assumptions!$B$22+Assumptions!$B$23</f>
        <v>76487.3184419092</v>
      </c>
      <c r="AC34" s="8" t="n">
        <f aca="false">AC7*Assumptions!$B$22+Assumptions!$B$23</f>
        <v>78721.9379951665</v>
      </c>
      <c r="AD34" s="8" t="n">
        <f aca="false">AD7*Assumptions!$B$22+Assumptions!$B$23</f>
        <v>81023.5961350214</v>
      </c>
      <c r="AE34" s="8" t="n">
        <f aca="false">AE7*Assumptions!$B$22+Assumptions!$B$23</f>
        <v>83394.3040190721</v>
      </c>
      <c r="AF34" s="8" t="n">
        <f aca="false">AF7*Assumptions!$B$22+Assumptions!$B$23</f>
        <v>85836.1331396443</v>
      </c>
      <c r="AG34" s="8" t="n">
        <f aca="false">AG7*Assumptions!$B$22+Assumptions!$B$23</f>
        <v>88351.2171338336</v>
      </c>
      <c r="AH34" s="8" t="n">
        <f aca="false">AH7*Assumptions!$B$22+Assumptions!$B$23</f>
        <v>90941.7536478486</v>
      </c>
      <c r="AI34" s="8" t="n">
        <f aca="false">AI7*Assumptions!$B$22+Assumptions!$B$23</f>
        <v>93610.006257284</v>
      </c>
      <c r="AJ34" s="8" t="n">
        <f aca="false">AJ7*Assumptions!$B$22+Assumptions!$B$23</f>
        <v>96358.3064450026</v>
      </c>
      <c r="AK34" s="8" t="n">
        <f aca="false">AK7*Assumptions!$B$22+Assumptions!$B$23</f>
        <v>99189.0556383526</v>
      </c>
      <c r="AL34" s="8" t="n">
        <f aca="false">AL7*Assumptions!$B$22+Assumptions!$B$23</f>
        <v>102104.727307503</v>
      </c>
    </row>
    <row r="35" customFormat="false" ht="15" hidden="false" customHeight="false" outlineLevel="0" collapsed="false">
      <c r="A35" s="6" t="s">
        <v>140</v>
      </c>
      <c r="C35" s="8" t="n">
        <f aca="false">Assumptions!$B$41+C13*Assumptions!$B$42</f>
        <v>4025</v>
      </c>
      <c r="D35" s="8" t="n">
        <f aca="false">Assumptions!$B$41+D13*Assumptions!$B$42</f>
        <v>4053</v>
      </c>
      <c r="E35" s="8" t="n">
        <f aca="false">Assumptions!$B$41+E13*Assumptions!$B$42</f>
        <v>4084.4725</v>
      </c>
      <c r="F35" s="8" t="n">
        <f aca="false">Assumptions!$B$41+F13*Assumptions!$B$42</f>
        <v>4119.9602</v>
      </c>
      <c r="G35" s="8" t="n">
        <f aca="false">Assumptions!$B$41+G13*Assumptions!$B$42</f>
        <v>4160.08655025</v>
      </c>
      <c r="H35" s="8" t="n">
        <f aca="false">Assumptions!$B$41+H13*Assumptions!$B$42</f>
        <v>4205.56788343</v>
      </c>
      <c r="I35" s="8" t="n">
        <f aca="false">Assumptions!$B$41+I13*Assumptions!$B$42</f>
        <v>4262.22736606773</v>
      </c>
      <c r="J35" s="8" t="n">
        <f aca="false">Assumptions!$B$41+J13*Assumptions!$B$42</f>
        <v>4330.86104209741</v>
      </c>
      <c r="K35" s="8" t="n">
        <f aca="false">Assumptions!$B$41+K13*Assumptions!$B$42</f>
        <v>4412.41078239797</v>
      </c>
      <c r="L35" s="8" t="n">
        <f aca="false">Assumptions!$B$41+L13*Assumptions!$B$42</f>
        <v>4507.98536622403</v>
      </c>
      <c r="M35" s="8" t="n">
        <f aca="false">Assumptions!$B$41+M13*Assumptions!$B$42</f>
        <v>4618.88474863</v>
      </c>
      <c r="N35" s="8" t="n">
        <f aca="false">Assumptions!$B$41+N13*Assumptions!$B$42</f>
        <v>4746.6279910727</v>
      </c>
      <c r="O35" s="8" t="n">
        <f aca="false">Assumptions!$B$41+O13*Assumptions!$B$42</f>
        <v>4887.51752333622</v>
      </c>
      <c r="P35" s="8" t="n">
        <f aca="false">Assumptions!$B$41+P13*Assumptions!$B$42</f>
        <v>5041.57767195158</v>
      </c>
      <c r="Q35" s="8" t="n">
        <f aca="false">Assumptions!$B$41+Q13*Assumptions!$B$42</f>
        <v>5208.8571565674</v>
      </c>
      <c r="R35" s="8" t="n">
        <f aca="false">Assumptions!$B$41+R13*Assumptions!$B$42</f>
        <v>5389.4298655312</v>
      </c>
      <c r="S35" s="8" t="n">
        <f aca="false">Assumptions!$B$41+S13*Assumptions!$B$42</f>
        <v>5583.39569864575</v>
      </c>
      <c r="T35" s="8" t="n">
        <f aca="false">Assumptions!$B$41+T13*Assumptions!$B$42</f>
        <v>5790.88148051168</v>
      </c>
      <c r="U35" s="8" t="n">
        <f aca="false">Assumptions!$B$41+U13*Assumptions!$B$42</f>
        <v>6012.04194809116</v>
      </c>
      <c r="V35" s="8" t="n">
        <f aca="false">Assumptions!$B$41+V13*Assumptions!$B$42</f>
        <v>6247.06081636294</v>
      </c>
      <c r="W35" s="8" t="n">
        <f aca="false">Assumptions!$B$41+W13*Assumptions!$B$42</f>
        <v>6496.15192618943</v>
      </c>
      <c r="X35" s="8" t="n">
        <f aca="false">Assumptions!$B$41+X13*Assumptions!$B$42</f>
        <v>6759.56047878018</v>
      </c>
      <c r="Y35" s="8" t="n">
        <f aca="false">Assumptions!$B$41+Y13*Assumptions!$B$42</f>
        <v>7037.56436141579</v>
      </c>
      <c r="Z35" s="8" t="n">
        <f aca="false">Assumptions!$B$41+Z13*Assumptions!$B$42</f>
        <v>7330.47556939227</v>
      </c>
      <c r="AA35" s="8" t="n">
        <f aca="false">Assumptions!$B$41+AA13*Assumptions!$B$42</f>
        <v>7636.62058529403</v>
      </c>
      <c r="AB35" s="8" t="n">
        <f aca="false">Assumptions!$B$41+AB13*Assumptions!$B$42</f>
        <v>7955.81302920824</v>
      </c>
      <c r="AC35" s="8" t="n">
        <f aca="false">Assumptions!$B$41+AC13*Assumptions!$B$42</f>
        <v>8287.87843164921</v>
      </c>
      <c r="AD35" s="8" t="n">
        <f aca="false">Assumptions!$B$41+AD13*Assumptions!$B$42</f>
        <v>8632.65406581647</v>
      </c>
      <c r="AE35" s="8" t="n">
        <f aca="false">Assumptions!$B$41+AE13*Assumptions!$B$42</f>
        <v>8989.98879057222</v>
      </c>
      <c r="AF35" s="8" t="n">
        <f aca="false">Assumptions!$B$41+AF13*Assumptions!$B$42</f>
        <v>9359.7429039872</v>
      </c>
      <c r="AG35" s="8" t="n">
        <f aca="false">Assumptions!$B$41+AG13*Assumptions!$B$42</f>
        <v>9741.7880073137</v>
      </c>
      <c r="AH35" s="8" t="n">
        <f aca="false">Assumptions!$B$41+AH13*Assumptions!$B$42</f>
        <v>10136.0068792538</v>
      </c>
      <c r="AI35" s="8" t="n">
        <f aca="false">Assumptions!$B$41+AI13*Assumptions!$B$42</f>
        <v>10542.2933604004</v>
      </c>
      <c r="AJ35" s="8" t="n">
        <f aca="false">Assumptions!$B$41+AJ13*Assumptions!$B$42</f>
        <v>10960.5522477384</v>
      </c>
      <c r="AK35" s="8" t="n">
        <f aca="false">Assumptions!$B$41+AK13*Assumptions!$B$42</f>
        <v>11390.6991991008</v>
      </c>
      <c r="AL35" s="8" t="n">
        <f aca="false">Assumptions!$B$41+AL13*Assumptions!$B$42</f>
        <v>11832.6606474861</v>
      </c>
    </row>
    <row r="36" customFormat="false" ht="15" hidden="false" customHeight="false" outlineLevel="0" collapsed="false">
      <c r="A36" s="32" t="s">
        <v>141</v>
      </c>
      <c r="C36" s="34" t="n">
        <f aca="false">SUM(C33:C35)</f>
        <v>37525</v>
      </c>
      <c r="D36" s="34" t="n">
        <f aca="false">SUM(D33:D35)</f>
        <v>38678</v>
      </c>
      <c r="E36" s="34" t="n">
        <f aca="false">SUM(E33:E35)</f>
        <v>40003.2225</v>
      </c>
      <c r="F36" s="34" t="n">
        <f aca="false">SUM(F33:F35)</f>
        <v>57126.5227</v>
      </c>
      <c r="G36" s="34" t="n">
        <f aca="false">SUM(G33:G35)</f>
        <v>58877.63342525</v>
      </c>
      <c r="H36" s="34" t="n">
        <f aca="false">SUM(H33:H35)</f>
        <v>71690.74678968</v>
      </c>
      <c r="I36" s="34" t="n">
        <f aca="false">SUM(I33:I35)</f>
        <v>74010.1831082552</v>
      </c>
      <c r="J36" s="34" t="n">
        <f aca="false">SUM(J33:J35)</f>
        <v>76681.010145613</v>
      </c>
      <c r="K36" s="34" t="n">
        <f aca="false">SUM(K33:K35)</f>
        <v>91755.0822514409</v>
      </c>
      <c r="L36" s="34" t="n">
        <f aca="false">SUM(L33:L35)</f>
        <v>110892.057555623</v>
      </c>
      <c r="M36" s="34" t="n">
        <f aca="false">SUM(M33:M35)</f>
        <v>114960.567766439</v>
      </c>
      <c r="N36" s="34" t="n">
        <f aca="false">SUM(N33:N35)</f>
        <v>119639.563461553</v>
      </c>
      <c r="O36" s="34" t="n">
        <f aca="false">SUM(O33:O35)</f>
        <v>132674.029122046</v>
      </c>
      <c r="P36" s="34" t="n">
        <f aca="false">SUM(P33:P35)</f>
        <v>135047.279966584</v>
      </c>
      <c r="Q36" s="34" t="n">
        <f aca="false">SUM(Q33:Q35)</f>
        <v>137566.901588877</v>
      </c>
      <c r="R36" s="34" t="n">
        <f aca="false">SUM(R33:R35)</f>
        <v>155840.95696378</v>
      </c>
      <c r="S36" s="34" t="n">
        <f aca="false">SUM(S33:S35)</f>
        <v>158678.014422789</v>
      </c>
      <c r="T36" s="34" t="n">
        <f aca="false">SUM(T33:T35)</f>
        <v>161687.177328104</v>
      </c>
      <c r="U36" s="34" t="n">
        <f aca="false">SUM(U33:U35)</f>
        <v>164878.115546539</v>
      </c>
      <c r="V36" s="34" t="n">
        <f aca="false">SUM(V33:V35)</f>
        <v>177261.098830718</v>
      </c>
      <c r="W36" s="34" t="n">
        <f aca="false">SUM(W33:W35)</f>
        <v>180847.032221405</v>
      </c>
      <c r="X36" s="34" t="n">
        <f aca="false">SUM(X33:X35)</f>
        <v>184647.493591709</v>
      </c>
      <c r="Y36" s="34" t="n">
        <f aca="false">SUM(Y33:Y35)</f>
        <v>188674.77346112</v>
      </c>
      <c r="Z36" s="34" t="n">
        <f aca="false">SUM(Z33:Z35)</f>
        <v>192941.917215079</v>
      </c>
      <c r="AA36" s="34" t="n">
        <f aca="false">SUM(AA33:AA35)</f>
        <v>210954.405480351</v>
      </c>
      <c r="AB36" s="34" t="n">
        <f aca="false">SUM(AB33:AB35)</f>
        <v>222443.131471117</v>
      </c>
      <c r="AC36" s="34" t="n">
        <f aca="false">SUM(AC33:AC35)</f>
        <v>225009.816426816</v>
      </c>
      <c r="AD36" s="34" t="n">
        <f aca="false">SUM(AD33:AD35)</f>
        <v>240856.250200838</v>
      </c>
      <c r="AE36" s="34" t="n">
        <f aca="false">SUM(AE33:AE35)</f>
        <v>243584.292809644</v>
      </c>
      <c r="AF36" s="34" t="n">
        <f aca="false">SUM(AF33:AF35)</f>
        <v>246395.876043631</v>
      </c>
      <c r="AG36" s="34" t="n">
        <f aca="false">SUM(AG33:AG35)</f>
        <v>249293.005141147</v>
      </c>
      <c r="AH36" s="34" t="n">
        <f aca="false">SUM(AH33:AH35)</f>
        <v>252277.760527102</v>
      </c>
      <c r="AI36" s="34" t="n">
        <f aca="false">SUM(AI33:AI35)</f>
        <v>255352.299617684</v>
      </c>
      <c r="AJ36" s="34" t="n">
        <f aca="false">SUM(AJ33:AJ35)</f>
        <v>258518.858692741</v>
      </c>
      <c r="AK36" s="34" t="n">
        <f aca="false">SUM(AK33:AK35)</f>
        <v>261779.754837453</v>
      </c>
      <c r="AL36" s="34" t="n">
        <f aca="false">SUM(AL33:AL35)</f>
        <v>265137.387954989</v>
      </c>
    </row>
    <row r="37" customFormat="false" ht="15" hidden="false" customHeight="false" outlineLevel="0" collapsed="false">
      <c r="A37" s="4" t="s">
        <v>142</v>
      </c>
      <c r="C37" s="9" t="n">
        <f aca="false">C29-C36</f>
        <v>-32463.85</v>
      </c>
      <c r="D37" s="9" t="n">
        <f aca="false">D29-D36</f>
        <v>-30955.362</v>
      </c>
      <c r="E37" s="9" t="n">
        <f aca="false">E29-E36</f>
        <v>-29276.942765</v>
      </c>
      <c r="F37" s="9" t="n">
        <f aca="false">F29-F36</f>
        <v>-43001.4123508</v>
      </c>
      <c r="G37" s="9" t="n">
        <f aca="false">G29-G36</f>
        <v>-40897.5645293385</v>
      </c>
      <c r="H37" s="9" t="n">
        <f aca="false">H29-H36</f>
        <v>-49329.5613248802</v>
      </c>
      <c r="I37" s="9" t="n">
        <f aca="false">I29-I36</f>
        <v>-45738.052776269</v>
      </c>
      <c r="J37" s="9" t="n">
        <f aca="false">J29-J36</f>
        <v>-41504.6898277863</v>
      </c>
      <c r="K37" s="9" t="n">
        <f aca="false">K29-K36</f>
        <v>-48583.805762979</v>
      </c>
      <c r="L37" s="9" t="n">
        <f aca="false">L29-L36</f>
        <v>-58521.3655146198</v>
      </c>
      <c r="M37" s="9" t="n">
        <f aca="false">M29-M36</f>
        <v>-52053.7559623909</v>
      </c>
      <c r="N37" s="9" t="n">
        <f aca="false">N29-N36</f>
        <v>-44706.3934087103</v>
      </c>
      <c r="O37" s="9" t="n">
        <f aca="false">O29-O36</f>
        <v>-45242.2853417116</v>
      </c>
      <c r="P37" s="9" t="n">
        <f aca="false">P29-P36</f>
        <v>-34190.1818608385</v>
      </c>
      <c r="Q37" s="9" t="n">
        <f aca="false">Q29-Q36</f>
        <v>-22345.9817891543</v>
      </c>
      <c r="R37" s="9" t="n">
        <f aca="false">R29-R36</f>
        <v>-25304.0425226691</v>
      </c>
      <c r="S37" s="9" t="n">
        <f aca="false">S29-S36</f>
        <v>-11857.1264054098</v>
      </c>
      <c r="T37" s="9" t="n">
        <f aca="false">T29-T36</f>
        <v>2403.65727882643</v>
      </c>
      <c r="U37" s="9" t="n">
        <f aca="false">U29-U36</f>
        <v>17488.9149260601</v>
      </c>
      <c r="V37" s="9" t="n">
        <f aca="false">V29-V36</f>
        <v>24411.0360858126</v>
      </c>
      <c r="W37" s="9" t="n">
        <f aca="false">W29-W36</f>
        <v>41184.2660472246</v>
      </c>
      <c r="X37" s="9" t="n">
        <f aca="false">X29-X36</f>
        <v>58824.7838124334</v>
      </c>
      <c r="Y37" s="9" t="n">
        <f aca="false">Y29-Y36</f>
        <v>77350.7857494835</v>
      </c>
      <c r="Z37" s="9" t="n">
        <f aca="false">Z29-Z36</f>
        <v>96782.5752355074</v>
      </c>
      <c r="AA37" s="9" t="n">
        <f aca="false">AA29-AA36</f>
        <v>103152.804462456</v>
      </c>
      <c r="AB37" s="9" t="n">
        <f aca="false">AB29-AB36</f>
        <v>116900.207847117</v>
      </c>
      <c r="AC37" s="9" t="n">
        <f aca="false">AC29-AC36</f>
        <v>140416.048035794</v>
      </c>
      <c r="AD37" s="9" t="n">
        <f aca="false">AD29-AD36</f>
        <v>151492.287131533</v>
      </c>
      <c r="AE37" s="9" t="n">
        <f aca="false">AE29-AE36</f>
        <v>176521.578830504</v>
      </c>
      <c r="AF37" s="9" t="n">
        <f aca="false">AF29-AF36</f>
        <v>202297.261187894</v>
      </c>
      <c r="AG37" s="9" t="n">
        <f aca="false">AG29-AG36</f>
        <v>228813.350006231</v>
      </c>
      <c r="AH37" s="9" t="n">
        <f aca="false">AH29-AH36</f>
        <v>256064.532839638</v>
      </c>
      <c r="AI37" s="9" t="n">
        <f aca="false">AI29-AI36</f>
        <v>284046.16360805</v>
      </c>
      <c r="AJ37" s="9" t="n">
        <f aca="false">AJ29-AJ36</f>
        <v>312754.257816017</v>
      </c>
      <c r="AK37" s="9" t="n">
        <f aca="false">AK29-AK36</f>
        <v>342185.488371232</v>
      </c>
      <c r="AL37" s="9" t="n">
        <f aca="false">AL29-AL36</f>
        <v>372337.181998482</v>
      </c>
    </row>
    <row r="39" customFormat="false" ht="15" hidden="false" customHeight="false" outlineLevel="0" collapsed="false">
      <c r="A39" s="11" t="s">
        <v>143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customFormat="false" ht="15" hidden="false" customHeight="false" outlineLevel="0" collapsed="false">
      <c r="A40" s="6" t="s">
        <v>144</v>
      </c>
      <c r="C40" s="15" t="n">
        <f aca="false">Assumptions!$B$45</f>
        <v>50000</v>
      </c>
      <c r="D40" s="8" t="n">
        <f aca="false">C42</f>
        <v>1517536.15</v>
      </c>
      <c r="E40" s="8" t="n">
        <f aca="false">D42</f>
        <v>1486580.788</v>
      </c>
      <c r="F40" s="8" t="n">
        <f aca="false">E42</f>
        <v>1457303.845235</v>
      </c>
      <c r="G40" s="8" t="n">
        <f aca="false">F42</f>
        <v>1414302.4328842</v>
      </c>
      <c r="H40" s="8" t="n">
        <f aca="false">G42</f>
        <v>1373404.86835486</v>
      </c>
      <c r="I40" s="8" t="n">
        <f aca="false">H42</f>
        <v>1324075.30702998</v>
      </c>
      <c r="J40" s="8" t="n">
        <f aca="false">I42</f>
        <v>1278337.25425371</v>
      </c>
      <c r="K40" s="8" t="n">
        <f aca="false">J42</f>
        <v>1236832.56442593</v>
      </c>
      <c r="L40" s="8" t="n">
        <f aca="false">K42</f>
        <v>1188248.75866295</v>
      </c>
      <c r="M40" s="8" t="n">
        <f aca="false">L42</f>
        <v>1129727.39314833</v>
      </c>
      <c r="N40" s="8" t="n">
        <f aca="false">M42</f>
        <v>1077673.63718594</v>
      </c>
      <c r="O40" s="8" t="n">
        <f aca="false">N42</f>
        <v>1032967.24377723</v>
      </c>
      <c r="P40" s="8" t="n">
        <f aca="false">O42</f>
        <v>987724.958435515</v>
      </c>
      <c r="Q40" s="8" t="n">
        <f aca="false">P42</f>
        <v>953534.776574676</v>
      </c>
      <c r="R40" s="8" t="n">
        <f aca="false">Q42</f>
        <v>931188.794785522</v>
      </c>
      <c r="S40" s="8" t="n">
        <f aca="false">R42</f>
        <v>905884.752262853</v>
      </c>
      <c r="T40" s="8" t="n">
        <f aca="false">S42</f>
        <v>894027.625857443</v>
      </c>
      <c r="U40" s="8" t="n">
        <f aca="false">T42</f>
        <v>896431.28313627</v>
      </c>
      <c r="V40" s="8" t="n">
        <f aca="false">U42</f>
        <v>913920.19806233</v>
      </c>
      <c r="W40" s="8" t="n">
        <f aca="false">V42</f>
        <v>938331.234148142</v>
      </c>
      <c r="X40" s="8" t="n">
        <f aca="false">W42</f>
        <v>979515.500195367</v>
      </c>
      <c r="Y40" s="8" t="n">
        <f aca="false">X42</f>
        <v>1038340.2840078</v>
      </c>
      <c r="Z40" s="8" t="n">
        <f aca="false">Y42</f>
        <v>1115691.06975728</v>
      </c>
      <c r="AA40" s="8" t="n">
        <f aca="false">Z42</f>
        <v>1212473.64499279</v>
      </c>
      <c r="AB40" s="8" t="n">
        <f aca="false">AA42</f>
        <v>1315626.44945525</v>
      </c>
      <c r="AC40" s="8" t="n">
        <f aca="false">AB42</f>
        <v>1432526.65730236</v>
      </c>
      <c r="AD40" s="8" t="n">
        <f aca="false">AC42</f>
        <v>1572942.70533816</v>
      </c>
      <c r="AE40" s="8" t="n">
        <f aca="false">AD42</f>
        <v>1724434.99246969</v>
      </c>
      <c r="AF40" s="8" t="n">
        <f aca="false">AE42</f>
        <v>1900956.57130019</v>
      </c>
      <c r="AG40" s="8" t="n">
        <f aca="false">AF42</f>
        <v>2103253.83248809</v>
      </c>
      <c r="AH40" s="8" t="n">
        <f aca="false">AG42</f>
        <v>2332067.18249432</v>
      </c>
      <c r="AI40" s="8" t="n">
        <f aca="false">AH42</f>
        <v>2588131.71533396</v>
      </c>
      <c r="AJ40" s="8" t="n">
        <f aca="false">AI42</f>
        <v>2872177.87894201</v>
      </c>
      <c r="AK40" s="8" t="n">
        <f aca="false">AJ42</f>
        <v>3184932.13675802</v>
      </c>
      <c r="AL40" s="8" t="n">
        <f aca="false">AK42</f>
        <v>3527117.62512926</v>
      </c>
    </row>
    <row r="41" customFormat="false" ht="15" hidden="false" customHeight="false" outlineLevel="0" collapsed="false">
      <c r="A41" s="6" t="s">
        <v>145</v>
      </c>
      <c r="C41" s="8" t="n">
        <f aca="false">IF(C$3=Assumptions!$B$47,Assumptions!$B$46,0)</f>
        <v>1500000</v>
      </c>
      <c r="D41" s="8" t="n">
        <f aca="false">IF(D$3=Assumptions!$B$47,Assumptions!$B$46,0)</f>
        <v>0</v>
      </c>
      <c r="E41" s="8" t="n">
        <f aca="false">IF(E$3=Assumptions!$B$47,Assumptions!$B$46,0)</f>
        <v>0</v>
      </c>
      <c r="F41" s="8" t="n">
        <f aca="false">IF(F$3=Assumptions!$B$47,Assumptions!$B$46,0)</f>
        <v>0</v>
      </c>
      <c r="G41" s="8" t="n">
        <f aca="false">IF(G$3=Assumptions!$B$47,Assumptions!$B$46,0)</f>
        <v>0</v>
      </c>
      <c r="H41" s="8" t="n">
        <f aca="false">IF(H$3=Assumptions!$B$47,Assumptions!$B$46,0)</f>
        <v>0</v>
      </c>
      <c r="I41" s="8" t="n">
        <f aca="false">IF(I$3=Assumptions!$B$47,Assumptions!$B$46,0)</f>
        <v>0</v>
      </c>
      <c r="J41" s="8" t="n">
        <f aca="false">IF(J$3=Assumptions!$B$47,Assumptions!$B$46,0)</f>
        <v>0</v>
      </c>
      <c r="K41" s="8" t="n">
        <f aca="false">IF(K$3=Assumptions!$B$47,Assumptions!$B$46,0)</f>
        <v>0</v>
      </c>
      <c r="L41" s="8" t="n">
        <f aca="false">IF(L$3=Assumptions!$B$47,Assumptions!$B$46,0)</f>
        <v>0</v>
      </c>
      <c r="M41" s="8" t="n">
        <f aca="false">IF(M$3=Assumptions!$B$47,Assumptions!$B$46,0)</f>
        <v>0</v>
      </c>
      <c r="N41" s="8" t="n">
        <f aca="false">IF(N$3=Assumptions!$B$47,Assumptions!$B$46,0)</f>
        <v>0</v>
      </c>
      <c r="O41" s="8" t="n">
        <f aca="false">IF(O$3=Assumptions!$B$47,Assumptions!$B$46,0)</f>
        <v>0</v>
      </c>
      <c r="P41" s="8" t="n">
        <f aca="false">IF(P$3=Assumptions!$B$47,Assumptions!$B$46,0)</f>
        <v>0</v>
      </c>
      <c r="Q41" s="8" t="n">
        <f aca="false">IF(Q$3=Assumptions!$B$47,Assumptions!$B$46,0)</f>
        <v>0</v>
      </c>
      <c r="R41" s="8" t="n">
        <f aca="false">IF(R$3=Assumptions!$B$47,Assumptions!$B$46,0)</f>
        <v>0</v>
      </c>
      <c r="S41" s="8" t="n">
        <f aca="false">IF(S$3=Assumptions!$B$47,Assumptions!$B$46,0)</f>
        <v>0</v>
      </c>
      <c r="T41" s="8" t="n">
        <f aca="false">IF(T$3=Assumptions!$B$47,Assumptions!$B$46,0)</f>
        <v>0</v>
      </c>
      <c r="U41" s="8" t="n">
        <f aca="false">IF(U$3=Assumptions!$B$47,Assumptions!$B$46,0)</f>
        <v>0</v>
      </c>
      <c r="V41" s="8" t="n">
        <f aca="false">IF(V$3=Assumptions!$B$47,Assumptions!$B$46,0)</f>
        <v>0</v>
      </c>
      <c r="W41" s="8" t="n">
        <f aca="false">IF(W$3=Assumptions!$B$47,Assumptions!$B$46,0)</f>
        <v>0</v>
      </c>
      <c r="X41" s="8" t="n">
        <f aca="false">IF(X$3=Assumptions!$B$47,Assumptions!$B$46,0)</f>
        <v>0</v>
      </c>
      <c r="Y41" s="8" t="n">
        <f aca="false">IF(Y$3=Assumptions!$B$47,Assumptions!$B$46,0)</f>
        <v>0</v>
      </c>
      <c r="Z41" s="8" t="n">
        <f aca="false">IF(Z$3=Assumptions!$B$47,Assumptions!$B$46,0)</f>
        <v>0</v>
      </c>
      <c r="AA41" s="8" t="n">
        <f aca="false">IF(AA$3=Assumptions!$B$47,Assumptions!$B$46,0)</f>
        <v>0</v>
      </c>
      <c r="AB41" s="8" t="n">
        <f aca="false">IF(AB$3=Assumptions!$B$47,Assumptions!$B$46,0)</f>
        <v>0</v>
      </c>
      <c r="AC41" s="8" t="n">
        <f aca="false">IF(AC$3=Assumptions!$B$47,Assumptions!$B$46,0)</f>
        <v>0</v>
      </c>
      <c r="AD41" s="8" t="n">
        <f aca="false">IF(AD$3=Assumptions!$B$47,Assumptions!$B$46,0)</f>
        <v>0</v>
      </c>
      <c r="AE41" s="8" t="n">
        <f aca="false">IF(AE$3=Assumptions!$B$47,Assumptions!$B$46,0)</f>
        <v>0</v>
      </c>
      <c r="AF41" s="8" t="n">
        <f aca="false">IF(AF$3=Assumptions!$B$47,Assumptions!$B$46,0)</f>
        <v>0</v>
      </c>
      <c r="AG41" s="8" t="n">
        <f aca="false">IF(AG$3=Assumptions!$B$47,Assumptions!$B$46,0)</f>
        <v>0</v>
      </c>
      <c r="AH41" s="8" t="n">
        <f aca="false">IF(AH$3=Assumptions!$B$47,Assumptions!$B$46,0)</f>
        <v>0</v>
      </c>
      <c r="AI41" s="8" t="n">
        <f aca="false">IF(AI$3=Assumptions!$B$47,Assumptions!$B$46,0)</f>
        <v>0</v>
      </c>
      <c r="AJ41" s="8" t="n">
        <f aca="false">IF(AJ$3=Assumptions!$B$47,Assumptions!$B$46,0)</f>
        <v>0</v>
      </c>
      <c r="AK41" s="8" t="n">
        <f aca="false">IF(AK$3=Assumptions!$B$47,Assumptions!$B$46,0)</f>
        <v>0</v>
      </c>
      <c r="AL41" s="8" t="n">
        <f aca="false">IF(AL$3=Assumptions!$B$47,Assumptions!$B$46,0)</f>
        <v>0</v>
      </c>
    </row>
    <row r="42" customFormat="false" ht="15" hidden="false" customHeight="false" outlineLevel="0" collapsed="false">
      <c r="A42" s="32" t="s">
        <v>16</v>
      </c>
      <c r="C42" s="34" t="n">
        <f aca="false">C40+C37+C41</f>
        <v>1517536.15</v>
      </c>
      <c r="D42" s="34" t="n">
        <f aca="false">D40+D37+D41</f>
        <v>1486580.788</v>
      </c>
      <c r="E42" s="34" t="n">
        <f aca="false">E40+E37+E41</f>
        <v>1457303.845235</v>
      </c>
      <c r="F42" s="34" t="n">
        <f aca="false">F40+F37+F41</f>
        <v>1414302.4328842</v>
      </c>
      <c r="G42" s="34" t="n">
        <f aca="false">G40+G37+G41</f>
        <v>1373404.86835486</v>
      </c>
      <c r="H42" s="34" t="n">
        <f aca="false">H40+H37+H41</f>
        <v>1324075.30702998</v>
      </c>
      <c r="I42" s="34" t="n">
        <f aca="false">I40+I37+I41</f>
        <v>1278337.25425371</v>
      </c>
      <c r="J42" s="34" t="n">
        <f aca="false">J40+J37+J41</f>
        <v>1236832.56442593</v>
      </c>
      <c r="K42" s="34" t="n">
        <f aca="false">K40+K37+K41</f>
        <v>1188248.75866295</v>
      </c>
      <c r="L42" s="34" t="n">
        <f aca="false">L40+L37+L41</f>
        <v>1129727.39314833</v>
      </c>
      <c r="M42" s="34" t="n">
        <f aca="false">M40+M37+M41</f>
        <v>1077673.63718594</v>
      </c>
      <c r="N42" s="34" t="n">
        <f aca="false">N40+N37+N41</f>
        <v>1032967.24377723</v>
      </c>
      <c r="O42" s="34" t="n">
        <f aca="false">O40+O37+O41</f>
        <v>987724.958435515</v>
      </c>
      <c r="P42" s="34" t="n">
        <f aca="false">P40+P37+P41</f>
        <v>953534.776574676</v>
      </c>
      <c r="Q42" s="34" t="n">
        <f aca="false">Q40+Q37+Q41</f>
        <v>931188.794785522</v>
      </c>
      <c r="R42" s="34" t="n">
        <f aca="false">R40+R37+R41</f>
        <v>905884.752262853</v>
      </c>
      <c r="S42" s="34" t="n">
        <f aca="false">S40+S37+S41</f>
        <v>894027.625857443</v>
      </c>
      <c r="T42" s="34" t="n">
        <f aca="false">T40+T37+T41</f>
        <v>896431.28313627</v>
      </c>
      <c r="U42" s="34" t="n">
        <f aca="false">U40+U37+U41</f>
        <v>913920.19806233</v>
      </c>
      <c r="V42" s="34" t="n">
        <f aca="false">V40+V37+V41</f>
        <v>938331.234148142</v>
      </c>
      <c r="W42" s="34" t="n">
        <f aca="false">W40+W37+W41</f>
        <v>979515.500195367</v>
      </c>
      <c r="X42" s="34" t="n">
        <f aca="false">X40+X37+X41</f>
        <v>1038340.2840078</v>
      </c>
      <c r="Y42" s="34" t="n">
        <f aca="false">Y40+Y37+Y41</f>
        <v>1115691.06975728</v>
      </c>
      <c r="Z42" s="34" t="n">
        <f aca="false">Z40+Z37+Z41</f>
        <v>1212473.64499279</v>
      </c>
      <c r="AA42" s="34" t="n">
        <f aca="false">AA40+AA37+AA41</f>
        <v>1315626.44945525</v>
      </c>
      <c r="AB42" s="34" t="n">
        <f aca="false">AB40+AB37+AB41</f>
        <v>1432526.65730236</v>
      </c>
      <c r="AC42" s="34" t="n">
        <f aca="false">AC40+AC37+AC41</f>
        <v>1572942.70533816</v>
      </c>
      <c r="AD42" s="34" t="n">
        <f aca="false">AD40+AD37+AD41</f>
        <v>1724434.99246969</v>
      </c>
      <c r="AE42" s="34" t="n">
        <f aca="false">AE40+AE37+AE41</f>
        <v>1900956.57130019</v>
      </c>
      <c r="AF42" s="34" t="n">
        <f aca="false">AF40+AF37+AF41</f>
        <v>2103253.83248809</v>
      </c>
      <c r="AG42" s="34" t="n">
        <f aca="false">AG40+AG37+AG41</f>
        <v>2332067.18249432</v>
      </c>
      <c r="AH42" s="34" t="n">
        <f aca="false">AH40+AH37+AH41</f>
        <v>2588131.71533396</v>
      </c>
      <c r="AI42" s="34" t="n">
        <f aca="false">AI40+AI37+AI41</f>
        <v>2872177.87894201</v>
      </c>
      <c r="AJ42" s="34" t="n">
        <f aca="false">AJ40+AJ37+AJ41</f>
        <v>3184932.13675802</v>
      </c>
      <c r="AK42" s="34" t="n">
        <f aca="false">AK40+AK37+AK41</f>
        <v>3527117.62512926</v>
      </c>
      <c r="AL42" s="34" t="n">
        <f aca="false">AL40+AL37+AL41</f>
        <v>3899454.80712774</v>
      </c>
    </row>
    <row r="43" customFormat="false" ht="15" hidden="false" customHeight="false" outlineLevel="0" collapsed="false">
      <c r="A43" s="6" t="s">
        <v>146</v>
      </c>
      <c r="C43" s="8" t="n">
        <f aca="false">MAX(0,-C37)</f>
        <v>32463.85</v>
      </c>
      <c r="D43" s="8" t="n">
        <f aca="false">MAX(0,-D37)</f>
        <v>30955.362</v>
      </c>
      <c r="E43" s="8" t="n">
        <f aca="false">MAX(0,-E37)</f>
        <v>29276.942765</v>
      </c>
      <c r="F43" s="8" t="n">
        <f aca="false">MAX(0,-F37)</f>
        <v>43001.4123508</v>
      </c>
      <c r="G43" s="8" t="n">
        <f aca="false">MAX(0,-G37)</f>
        <v>40897.5645293385</v>
      </c>
      <c r="H43" s="8" t="n">
        <f aca="false">MAX(0,-H37)</f>
        <v>49329.5613248802</v>
      </c>
      <c r="I43" s="8" t="n">
        <f aca="false">MAX(0,-I37)</f>
        <v>45738.052776269</v>
      </c>
      <c r="J43" s="8" t="n">
        <f aca="false">MAX(0,-J37)</f>
        <v>41504.6898277863</v>
      </c>
      <c r="K43" s="8" t="n">
        <f aca="false">MAX(0,-K37)</f>
        <v>48583.805762979</v>
      </c>
      <c r="L43" s="8" t="n">
        <f aca="false">MAX(0,-L37)</f>
        <v>58521.3655146198</v>
      </c>
      <c r="M43" s="8" t="n">
        <f aca="false">MAX(0,-M37)</f>
        <v>52053.7559623909</v>
      </c>
      <c r="N43" s="8" t="n">
        <f aca="false">MAX(0,-N37)</f>
        <v>44706.3934087103</v>
      </c>
      <c r="O43" s="8" t="n">
        <f aca="false">MAX(0,-O37)</f>
        <v>45242.2853417116</v>
      </c>
      <c r="P43" s="8" t="n">
        <f aca="false">MAX(0,-P37)</f>
        <v>34190.1818608385</v>
      </c>
      <c r="Q43" s="8" t="n">
        <f aca="false">MAX(0,-Q37)</f>
        <v>22345.9817891543</v>
      </c>
      <c r="R43" s="8" t="n">
        <f aca="false">MAX(0,-R37)</f>
        <v>25304.0425226691</v>
      </c>
      <c r="S43" s="8" t="n">
        <f aca="false">MAX(0,-S37)</f>
        <v>11857.1264054098</v>
      </c>
      <c r="T43" s="8" t="n">
        <f aca="false">MAX(0,-T37)</f>
        <v>0</v>
      </c>
      <c r="U43" s="8" t="n">
        <f aca="false">MAX(0,-U37)</f>
        <v>0</v>
      </c>
      <c r="V43" s="8" t="n">
        <f aca="false">MAX(0,-V37)</f>
        <v>0</v>
      </c>
      <c r="W43" s="8" t="n">
        <f aca="false">MAX(0,-W37)</f>
        <v>0</v>
      </c>
      <c r="X43" s="8" t="n">
        <f aca="false">MAX(0,-X37)</f>
        <v>0</v>
      </c>
      <c r="Y43" s="8" t="n">
        <f aca="false">MAX(0,-Y37)</f>
        <v>0</v>
      </c>
      <c r="Z43" s="8" t="n">
        <f aca="false">MAX(0,-Z37)</f>
        <v>0</v>
      </c>
      <c r="AA43" s="8" t="n">
        <f aca="false">MAX(0,-AA37)</f>
        <v>0</v>
      </c>
      <c r="AB43" s="8" t="n">
        <f aca="false">MAX(0,-AB37)</f>
        <v>0</v>
      </c>
      <c r="AC43" s="8" t="n">
        <f aca="false">MAX(0,-AC37)</f>
        <v>0</v>
      </c>
      <c r="AD43" s="8" t="n">
        <f aca="false">MAX(0,-AD37)</f>
        <v>0</v>
      </c>
      <c r="AE43" s="8" t="n">
        <f aca="false">MAX(0,-AE37)</f>
        <v>0</v>
      </c>
      <c r="AF43" s="8" t="n">
        <f aca="false">MAX(0,-AF37)</f>
        <v>0</v>
      </c>
      <c r="AG43" s="8" t="n">
        <f aca="false">MAX(0,-AG37)</f>
        <v>0</v>
      </c>
      <c r="AH43" s="8" t="n">
        <f aca="false">MAX(0,-AH37)</f>
        <v>0</v>
      </c>
      <c r="AI43" s="8" t="n">
        <f aca="false">MAX(0,-AI37)</f>
        <v>0</v>
      </c>
      <c r="AJ43" s="8" t="n">
        <f aca="false">MAX(0,-AJ37)</f>
        <v>0</v>
      </c>
      <c r="AK43" s="8" t="n">
        <f aca="false">MAX(0,-AK37)</f>
        <v>0</v>
      </c>
      <c r="AL43" s="8" t="n">
        <f aca="false">MAX(0,-AL37)</f>
        <v>0</v>
      </c>
    </row>
    <row r="45" customFormat="false" ht="15" hidden="false" customHeight="false" outlineLevel="0" collapsed="false">
      <c r="A45" s="11" t="s">
        <v>147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</row>
    <row r="46" customFormat="false" ht="15" hidden="false" customHeight="false" outlineLevel="0" collapsed="false">
      <c r="A46" s="6" t="s">
        <v>148</v>
      </c>
      <c r="C46" s="29" t="n">
        <f aca="false">IF(C42&lt;0,C$3,999)</f>
        <v>999</v>
      </c>
      <c r="D46" s="29" t="n">
        <f aca="false">IF(D42&lt;0,D$3,999)</f>
        <v>999</v>
      </c>
      <c r="E46" s="29" t="n">
        <f aca="false">IF(E42&lt;0,E$3,999)</f>
        <v>999</v>
      </c>
      <c r="F46" s="29" t="n">
        <f aca="false">IF(F42&lt;0,F$3,999)</f>
        <v>999</v>
      </c>
      <c r="G46" s="29" t="n">
        <f aca="false">IF(G42&lt;0,G$3,999)</f>
        <v>999</v>
      </c>
      <c r="H46" s="29" t="n">
        <f aca="false">IF(H42&lt;0,H$3,999)</f>
        <v>999</v>
      </c>
      <c r="I46" s="29" t="n">
        <f aca="false">IF(I42&lt;0,I$3,999)</f>
        <v>999</v>
      </c>
      <c r="J46" s="29" t="n">
        <f aca="false">IF(J42&lt;0,J$3,999)</f>
        <v>999</v>
      </c>
      <c r="K46" s="29" t="n">
        <f aca="false">IF(K42&lt;0,K$3,999)</f>
        <v>999</v>
      </c>
      <c r="L46" s="29" t="n">
        <f aca="false">IF(L42&lt;0,L$3,999)</f>
        <v>999</v>
      </c>
      <c r="M46" s="29" t="n">
        <f aca="false">IF(M42&lt;0,M$3,999)</f>
        <v>999</v>
      </c>
      <c r="N46" s="29" t="n">
        <f aca="false">IF(N42&lt;0,N$3,999)</f>
        <v>999</v>
      </c>
      <c r="O46" s="29" t="n">
        <f aca="false">IF(O42&lt;0,O$3,999)</f>
        <v>999</v>
      </c>
      <c r="P46" s="29" t="n">
        <f aca="false">IF(P42&lt;0,P$3,999)</f>
        <v>999</v>
      </c>
      <c r="Q46" s="29" t="n">
        <f aca="false">IF(Q42&lt;0,Q$3,999)</f>
        <v>999</v>
      </c>
      <c r="R46" s="29" t="n">
        <f aca="false">IF(R42&lt;0,R$3,999)</f>
        <v>999</v>
      </c>
      <c r="S46" s="29" t="n">
        <f aca="false">IF(S42&lt;0,S$3,999)</f>
        <v>999</v>
      </c>
      <c r="T46" s="29" t="n">
        <f aca="false">IF(T42&lt;0,T$3,999)</f>
        <v>999</v>
      </c>
      <c r="U46" s="29" t="n">
        <f aca="false">IF(U42&lt;0,U$3,999)</f>
        <v>999</v>
      </c>
      <c r="V46" s="29" t="n">
        <f aca="false">IF(V42&lt;0,V$3,999)</f>
        <v>999</v>
      </c>
      <c r="W46" s="29" t="n">
        <f aca="false">IF(W42&lt;0,W$3,999)</f>
        <v>999</v>
      </c>
      <c r="X46" s="29" t="n">
        <f aca="false">IF(X42&lt;0,X$3,999)</f>
        <v>999</v>
      </c>
      <c r="Y46" s="29" t="n">
        <f aca="false">IF(Y42&lt;0,Y$3,999)</f>
        <v>999</v>
      </c>
      <c r="Z46" s="29" t="n">
        <f aca="false">IF(Z42&lt;0,Z$3,999)</f>
        <v>999</v>
      </c>
      <c r="AA46" s="29" t="n">
        <f aca="false">IF(AA42&lt;0,AA$3,999)</f>
        <v>999</v>
      </c>
      <c r="AB46" s="29" t="n">
        <f aca="false">IF(AB42&lt;0,AB$3,999)</f>
        <v>999</v>
      </c>
      <c r="AC46" s="29" t="n">
        <f aca="false">IF(AC42&lt;0,AC$3,999)</f>
        <v>999</v>
      </c>
      <c r="AD46" s="29" t="n">
        <f aca="false">IF(AD42&lt;0,AD$3,999)</f>
        <v>999</v>
      </c>
      <c r="AE46" s="29" t="n">
        <f aca="false">IF(AE42&lt;0,AE$3,999)</f>
        <v>999</v>
      </c>
      <c r="AF46" s="29" t="n">
        <f aca="false">IF(AF42&lt;0,AF$3,999)</f>
        <v>999</v>
      </c>
      <c r="AG46" s="29" t="n">
        <f aca="false">IF(AG42&lt;0,AG$3,999)</f>
        <v>999</v>
      </c>
      <c r="AH46" s="29" t="n">
        <f aca="false">IF(AH42&lt;0,AH$3,999)</f>
        <v>999</v>
      </c>
      <c r="AI46" s="29" t="n">
        <f aca="false">IF(AI42&lt;0,AI$3,999)</f>
        <v>999</v>
      </c>
      <c r="AJ46" s="29" t="n">
        <f aca="false">IF(AJ42&lt;0,AJ$3,999)</f>
        <v>999</v>
      </c>
      <c r="AK46" s="29" t="n">
        <f aca="false">IF(AK42&lt;0,AK$3,999)</f>
        <v>999</v>
      </c>
      <c r="AL46" s="29" t="n">
        <f aca="false">IF(AL42&lt;0,AL$3,999)</f>
        <v>999</v>
      </c>
    </row>
    <row r="47" customFormat="false" ht="15" hidden="false" customHeight="false" outlineLevel="0" collapsed="false">
      <c r="A47" s="6" t="s">
        <v>149</v>
      </c>
      <c r="C47" s="29" t="n">
        <f aca="false">IF(C37&gt;0,C$3,999)</f>
        <v>999</v>
      </c>
      <c r="D47" s="29" t="n">
        <f aca="false">IF(D37&gt;0,D$3,999)</f>
        <v>999</v>
      </c>
      <c r="E47" s="29" t="n">
        <f aca="false">IF(E37&gt;0,E$3,999)</f>
        <v>999</v>
      </c>
      <c r="F47" s="29" t="n">
        <f aca="false">IF(F37&gt;0,F$3,999)</f>
        <v>999</v>
      </c>
      <c r="G47" s="29" t="n">
        <f aca="false">IF(G37&gt;0,G$3,999)</f>
        <v>999</v>
      </c>
      <c r="H47" s="29" t="n">
        <f aca="false">IF(H37&gt;0,H$3,999)</f>
        <v>999</v>
      </c>
      <c r="I47" s="29" t="n">
        <f aca="false">IF(I37&gt;0,I$3,999)</f>
        <v>999</v>
      </c>
      <c r="J47" s="29" t="n">
        <f aca="false">IF(J37&gt;0,J$3,999)</f>
        <v>999</v>
      </c>
      <c r="K47" s="29" t="n">
        <f aca="false">IF(K37&gt;0,K$3,999)</f>
        <v>999</v>
      </c>
      <c r="L47" s="29" t="n">
        <f aca="false">IF(L37&gt;0,L$3,999)</f>
        <v>999</v>
      </c>
      <c r="M47" s="29" t="n">
        <f aca="false">IF(M37&gt;0,M$3,999)</f>
        <v>999</v>
      </c>
      <c r="N47" s="29" t="n">
        <f aca="false">IF(N37&gt;0,N$3,999)</f>
        <v>999</v>
      </c>
      <c r="O47" s="29" t="n">
        <f aca="false">IF(O37&gt;0,O$3,999)</f>
        <v>999</v>
      </c>
      <c r="P47" s="29" t="n">
        <f aca="false">IF(P37&gt;0,P$3,999)</f>
        <v>999</v>
      </c>
      <c r="Q47" s="29" t="n">
        <f aca="false">IF(Q37&gt;0,Q$3,999)</f>
        <v>999</v>
      </c>
      <c r="R47" s="29" t="n">
        <f aca="false">IF(R37&gt;0,R$3,999)</f>
        <v>999</v>
      </c>
      <c r="S47" s="29" t="n">
        <f aca="false">IF(S37&gt;0,S$3,999)</f>
        <v>999</v>
      </c>
      <c r="T47" s="29" t="n">
        <f aca="false">IF(T37&gt;0,T$3,999)</f>
        <v>18</v>
      </c>
      <c r="U47" s="29" t="n">
        <f aca="false">IF(U37&gt;0,U$3,999)</f>
        <v>19</v>
      </c>
      <c r="V47" s="29" t="n">
        <f aca="false">IF(V37&gt;0,V$3,999)</f>
        <v>20</v>
      </c>
      <c r="W47" s="29" t="n">
        <f aca="false">IF(W37&gt;0,W$3,999)</f>
        <v>21</v>
      </c>
      <c r="X47" s="29" t="n">
        <f aca="false">IF(X37&gt;0,X$3,999)</f>
        <v>22</v>
      </c>
      <c r="Y47" s="29" t="n">
        <f aca="false">IF(Y37&gt;0,Y$3,999)</f>
        <v>23</v>
      </c>
      <c r="Z47" s="29" t="n">
        <f aca="false">IF(Z37&gt;0,Z$3,999)</f>
        <v>24</v>
      </c>
      <c r="AA47" s="29" t="n">
        <f aca="false">IF(AA37&gt;0,AA$3,999)</f>
        <v>25</v>
      </c>
      <c r="AB47" s="29" t="n">
        <f aca="false">IF(AB37&gt;0,AB$3,999)</f>
        <v>26</v>
      </c>
      <c r="AC47" s="29" t="n">
        <f aca="false">IF(AC37&gt;0,AC$3,999)</f>
        <v>27</v>
      </c>
      <c r="AD47" s="29" t="n">
        <f aca="false">IF(AD37&gt;0,AD$3,999)</f>
        <v>28</v>
      </c>
      <c r="AE47" s="29" t="n">
        <f aca="false">IF(AE37&gt;0,AE$3,999)</f>
        <v>29</v>
      </c>
      <c r="AF47" s="29" t="n">
        <f aca="false">IF(AF37&gt;0,AF$3,999)</f>
        <v>30</v>
      </c>
      <c r="AG47" s="29" t="n">
        <f aca="false">IF(AG37&gt;0,AG$3,999)</f>
        <v>31</v>
      </c>
      <c r="AH47" s="29" t="n">
        <f aca="false">IF(AH37&gt;0,AH$3,999)</f>
        <v>32</v>
      </c>
      <c r="AI47" s="29" t="n">
        <f aca="false">IF(AI37&gt;0,AI$3,999)</f>
        <v>33</v>
      </c>
      <c r="AJ47" s="29" t="n">
        <f aca="false">IF(AJ37&gt;0,AJ$3,999)</f>
        <v>34</v>
      </c>
      <c r="AK47" s="29" t="n">
        <f aca="false">IF(AK37&gt;0,AK$3,999)</f>
        <v>35</v>
      </c>
      <c r="AL47" s="29" t="n">
        <f aca="false">IF(AL37&gt;0,AL$3,999)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2026-10-24T07:38:51Z</dcterms:created>
  <dc:creator>openpyxl</dc:creator>
  <dc:description/>
  <dc:language>en-US</dc:language>
  <cp:lastModifiedBy/>
  <dcterms:modified xsi:type="dcterms:W3CDTF">2026-10-24T07:38:51Z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